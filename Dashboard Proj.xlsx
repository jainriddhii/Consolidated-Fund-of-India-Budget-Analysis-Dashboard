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tables/table2.xml" ContentType="application/vnd.openxmlformats-officedocument.spreadsheetml.tab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e32af93bd6c2f23e/Desktop/"/>
    </mc:Choice>
  </mc:AlternateContent>
  <xr:revisionPtr revIDLastSave="0" documentId="8_{3D22F7F1-AA4C-4980-A6FD-83C49ECD32AA}" xr6:coauthVersionLast="47" xr6:coauthVersionMax="47" xr10:uidLastSave="{00000000-0000-0000-0000-000000000000}"/>
  <bookViews>
    <workbookView xWindow="-108" yWindow="-108" windowWidth="23256" windowHeight="12456" xr2:uid="{7C971F65-59C2-474E-90C7-71DA1E2F4B0C}"/>
  </bookViews>
  <sheets>
    <sheet name="Dashboard" sheetId="21" r:id="rId1"/>
    <sheet name="Report" sheetId="24" r:id="rId2"/>
    <sheet name="Analytics and main data" sheetId="6" r:id="rId3"/>
    <sheet name=" Receipts vs Expenditure" sheetId="8" r:id="rId4"/>
    <sheet name="deficit and surplus" sheetId="12" r:id="rId5"/>
    <sheet name="Tax Revenue composition" sheetId="14" r:id="rId6"/>
    <sheet name=" Defence spending" sheetId="15" r:id="rId7"/>
    <sheet name="Capital Expenditure breakdown" sheetId="16" r:id="rId8"/>
    <sheet name="debt" sheetId="17" r:id="rId9"/>
    <sheet name="NTR" sheetId="18" r:id="rId10"/>
    <sheet name="Main Data" sheetId="1" r:id="rId11"/>
    <sheet name="Sub Components" sheetId="7" r:id="rId12"/>
    <sheet name="revenue receipts" sheetId="2" r:id="rId13"/>
    <sheet name="revenue disbursements" sheetId="3" r:id="rId14"/>
    <sheet name="capital receipts" sheetId="4" r:id="rId15"/>
    <sheet name="capital disbursements" sheetId="5" r:id="rId16"/>
  </sheets>
  <externalReferences>
    <externalReference r:id="rId17"/>
  </externalReferences>
  <definedNames>
    <definedName name="_xlchart.v1.0" hidden="1">'Capital Expenditure breakdown'!$K$9:$K$14</definedName>
    <definedName name="_xlchart.v1.1" hidden="1">'Capital Expenditure breakdown'!$L$8</definedName>
    <definedName name="_xlchart.v1.2" hidden="1">'Capital Expenditure breakdown'!$L$9:$L$14</definedName>
    <definedName name="_xlchart.v1.3" hidden="1">'Capital Expenditure breakdown'!$K$9:$K$14</definedName>
    <definedName name="_xlchart.v1.4" hidden="1">'Capital Expenditure breakdown'!$L$8</definedName>
    <definedName name="_xlchart.v1.5" hidden="1">'Capital Expenditure breakdown'!$L$9:$L$14</definedName>
    <definedName name="Slicer_Sub_Category">#N/A</definedName>
    <definedName name="Slicer_Sub_Category1">#N/A</definedName>
    <definedName name="Slicer_Year">#N/A</definedName>
  </definedNames>
  <calcPr calcId="191029"/>
  <pivotCaches>
    <pivotCache cacheId="0" r:id="rId18"/>
    <pivotCache cacheId="1" r:id="rId19"/>
    <pivotCache cacheId="2" r:id="rId20"/>
    <pivotCache cacheId="3"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Y9" i="8" l="1"/>
  <c r="AY8" i="8"/>
  <c r="AY7" i="8"/>
  <c r="AY6" i="8"/>
  <c r="D10" i="21"/>
  <c r="W10" i="21"/>
  <c r="R10" i="21"/>
  <c r="M10" i="21"/>
  <c r="H10" i="21"/>
  <c r="H16" i="6"/>
  <c r="H5" i="6"/>
  <c r="B16" i="6"/>
  <c r="C11" i="6"/>
  <c r="D4" i="6"/>
  <c r="D5" i="6"/>
  <c r="D6" i="6"/>
  <c r="D7" i="6"/>
  <c r="D8" i="6"/>
  <c r="D9" i="6"/>
  <c r="D10" i="6"/>
  <c r="D11" i="6"/>
  <c r="D12" i="6"/>
  <c r="D13" i="6"/>
  <c r="D14" i="6"/>
  <c r="D15" i="6"/>
  <c r="D3" i="6"/>
  <c r="Q76" i="7"/>
  <c r="P76" i="7"/>
  <c r="O76" i="7"/>
  <c r="N76" i="7"/>
  <c r="M76" i="7"/>
  <c r="L76" i="7"/>
  <c r="K76" i="7"/>
  <c r="J76" i="7"/>
  <c r="I76" i="7"/>
  <c r="H76" i="7"/>
  <c r="G76" i="7"/>
  <c r="F76" i="7"/>
  <c r="E76" i="7"/>
  <c r="Q75" i="7"/>
  <c r="P75" i="7"/>
  <c r="O75" i="7"/>
  <c r="N75" i="7"/>
  <c r="M75" i="7"/>
  <c r="L75" i="7"/>
  <c r="K75" i="7"/>
  <c r="J75" i="7"/>
  <c r="I75" i="7"/>
  <c r="H75" i="7"/>
  <c r="G75" i="7"/>
  <c r="F75" i="7"/>
  <c r="E75" i="7"/>
  <c r="Q74" i="7"/>
  <c r="P74" i="7"/>
  <c r="O74" i="7"/>
  <c r="N74" i="7"/>
  <c r="M74" i="7"/>
  <c r="L74" i="7"/>
  <c r="K74" i="7"/>
  <c r="J74" i="7"/>
  <c r="I74" i="7"/>
  <c r="H74" i="7"/>
  <c r="G74" i="7"/>
  <c r="F74" i="7"/>
  <c r="E74" i="7"/>
  <c r="Q73" i="7"/>
  <c r="P73" i="7"/>
  <c r="O73" i="7"/>
  <c r="N73" i="7"/>
  <c r="M73" i="7"/>
  <c r="L73" i="7"/>
  <c r="K73" i="7"/>
  <c r="J73" i="7"/>
  <c r="I73" i="7"/>
  <c r="H73" i="7"/>
  <c r="G73" i="7"/>
  <c r="F73" i="7"/>
  <c r="E73" i="7"/>
  <c r="Q72" i="7"/>
  <c r="P72" i="7"/>
  <c r="O72" i="7"/>
  <c r="N72" i="7"/>
  <c r="M72" i="7"/>
  <c r="L72" i="7"/>
  <c r="K72" i="7"/>
  <c r="J72" i="7"/>
  <c r="I72" i="7"/>
  <c r="H72" i="7"/>
  <c r="G72" i="7"/>
  <c r="F72" i="7"/>
  <c r="E72" i="7"/>
  <c r="Q71" i="7"/>
  <c r="P71" i="7"/>
  <c r="O71" i="7"/>
  <c r="N71" i="7"/>
  <c r="M71" i="7"/>
  <c r="L71" i="7"/>
  <c r="K71" i="7"/>
  <c r="J71" i="7"/>
  <c r="I71" i="7"/>
  <c r="H71" i="7"/>
  <c r="G71" i="7"/>
  <c r="F71" i="7"/>
  <c r="E71" i="7"/>
  <c r="Q70" i="7"/>
  <c r="P70" i="7"/>
  <c r="O70" i="7"/>
  <c r="N70" i="7"/>
  <c r="M70" i="7"/>
  <c r="L70" i="7"/>
  <c r="K70" i="7"/>
  <c r="J70" i="7"/>
  <c r="I70" i="7"/>
  <c r="H70" i="7"/>
  <c r="G70" i="7"/>
  <c r="F70" i="7"/>
  <c r="E70" i="7"/>
  <c r="Q69" i="7"/>
  <c r="P69" i="7"/>
  <c r="O69" i="7"/>
  <c r="N69" i="7"/>
  <c r="M69" i="7"/>
  <c r="L69" i="7"/>
  <c r="K69" i="7"/>
  <c r="J69" i="7"/>
  <c r="I69" i="7"/>
  <c r="H69" i="7"/>
  <c r="G69" i="7"/>
  <c r="F69" i="7"/>
  <c r="E69" i="7"/>
  <c r="Q68" i="7"/>
  <c r="P68" i="7"/>
  <c r="O68" i="7"/>
  <c r="N68" i="7"/>
  <c r="M68" i="7"/>
  <c r="L68" i="7"/>
  <c r="K68" i="7"/>
  <c r="J68" i="7"/>
  <c r="I68" i="7"/>
  <c r="H68" i="7"/>
  <c r="G68" i="7"/>
  <c r="F68" i="7"/>
  <c r="E68" i="7"/>
  <c r="Q67" i="7"/>
  <c r="P67" i="7"/>
  <c r="O67" i="7"/>
  <c r="N67" i="7"/>
  <c r="M67" i="7"/>
  <c r="L67" i="7"/>
  <c r="K67" i="7"/>
  <c r="J67" i="7"/>
  <c r="I67" i="7"/>
  <c r="H67" i="7"/>
  <c r="G67" i="7"/>
  <c r="F67" i="7"/>
  <c r="E67" i="7"/>
  <c r="Q66" i="7"/>
  <c r="P66" i="7"/>
  <c r="O66" i="7"/>
  <c r="N66" i="7"/>
  <c r="M66" i="7"/>
  <c r="L66" i="7"/>
  <c r="K66" i="7"/>
  <c r="J66" i="7"/>
  <c r="I66" i="7"/>
  <c r="H66" i="7"/>
  <c r="G66" i="7"/>
  <c r="F66" i="7"/>
  <c r="E66" i="7"/>
  <c r="Q65" i="7"/>
  <c r="P65" i="7"/>
  <c r="O65" i="7"/>
  <c r="N65" i="7"/>
  <c r="M65" i="7"/>
  <c r="L65" i="7"/>
  <c r="K65" i="7"/>
  <c r="J65" i="7"/>
  <c r="I65" i="7"/>
  <c r="H65" i="7"/>
  <c r="G65" i="7"/>
  <c r="F65" i="7"/>
  <c r="E65" i="7"/>
  <c r="Q64" i="7"/>
  <c r="P64" i="7"/>
  <c r="O64" i="7"/>
  <c r="N64" i="7"/>
  <c r="M64" i="7"/>
  <c r="L64" i="7"/>
  <c r="K64" i="7"/>
  <c r="J64" i="7"/>
  <c r="I64" i="7"/>
  <c r="H64" i="7"/>
  <c r="G64" i="7"/>
  <c r="F64" i="7"/>
  <c r="E64" i="7"/>
  <c r="Q63" i="7"/>
  <c r="P63" i="7"/>
  <c r="O63" i="7"/>
  <c r="N63" i="7"/>
  <c r="M63" i="7"/>
  <c r="L63" i="7"/>
  <c r="K63" i="7"/>
  <c r="J63" i="7"/>
  <c r="I63" i="7"/>
  <c r="H63" i="7"/>
  <c r="G63" i="7"/>
  <c r="F63" i="7"/>
  <c r="E63" i="7"/>
  <c r="Q62" i="7"/>
  <c r="P62" i="7"/>
  <c r="O62" i="7"/>
  <c r="N62" i="7"/>
  <c r="M62" i="7"/>
  <c r="L62" i="7"/>
  <c r="K62" i="7"/>
  <c r="J62" i="7"/>
  <c r="I62" i="7"/>
  <c r="H62" i="7"/>
  <c r="G62" i="7"/>
  <c r="F62" i="7"/>
  <c r="E62" i="7"/>
  <c r="Q61" i="7"/>
  <c r="P61" i="7"/>
  <c r="O61" i="7"/>
  <c r="N61" i="7"/>
  <c r="M61" i="7"/>
  <c r="L61" i="7"/>
  <c r="K61" i="7"/>
  <c r="J61" i="7"/>
  <c r="I61" i="7"/>
  <c r="H61" i="7"/>
  <c r="G61" i="7"/>
  <c r="F61" i="7"/>
  <c r="E61" i="7"/>
  <c r="Q60" i="7"/>
  <c r="P60" i="7"/>
  <c r="O60" i="7"/>
  <c r="N60" i="7"/>
  <c r="M60" i="7"/>
  <c r="L60" i="7"/>
  <c r="K60" i="7"/>
  <c r="J60" i="7"/>
  <c r="I60" i="7"/>
  <c r="H60" i="7"/>
  <c r="G60" i="7"/>
  <c r="F60" i="7"/>
  <c r="E60" i="7"/>
  <c r="Q59" i="7"/>
  <c r="P59" i="7"/>
  <c r="O59" i="7"/>
  <c r="N59" i="7"/>
  <c r="M59" i="7"/>
  <c r="L59" i="7"/>
  <c r="K59" i="7"/>
  <c r="J59" i="7"/>
  <c r="I59" i="7"/>
  <c r="H59" i="7"/>
  <c r="G59" i="7"/>
  <c r="F59" i="7"/>
  <c r="E59" i="7"/>
  <c r="Q58" i="7"/>
  <c r="P58" i="7"/>
  <c r="O58" i="7"/>
  <c r="N58" i="7"/>
  <c r="M58" i="7"/>
  <c r="L58" i="7"/>
  <c r="K58" i="7"/>
  <c r="J58" i="7"/>
  <c r="I58" i="7"/>
  <c r="H58" i="7"/>
  <c r="G58" i="7"/>
  <c r="F58" i="7"/>
  <c r="E58" i="7"/>
  <c r="Q57" i="7"/>
  <c r="P57" i="7"/>
  <c r="O57" i="7"/>
  <c r="N57" i="7"/>
  <c r="M57" i="7"/>
  <c r="L57" i="7"/>
  <c r="K57" i="7"/>
  <c r="J57" i="7"/>
  <c r="I57" i="7"/>
  <c r="H57" i="7"/>
  <c r="G57" i="7"/>
  <c r="F57" i="7"/>
  <c r="E57" i="7"/>
  <c r="Q56" i="7"/>
  <c r="P56" i="7"/>
  <c r="O56" i="7"/>
  <c r="N56" i="7"/>
  <c r="M56" i="7"/>
  <c r="L56" i="7"/>
  <c r="K56" i="7"/>
  <c r="J56" i="7"/>
  <c r="I56" i="7"/>
  <c r="H56" i="7"/>
  <c r="G56" i="7"/>
  <c r="F56" i="7"/>
  <c r="E56" i="7"/>
  <c r="Q55" i="7"/>
  <c r="P55" i="7"/>
  <c r="O55" i="7"/>
  <c r="N55" i="7"/>
  <c r="M55" i="7"/>
  <c r="L55" i="7"/>
  <c r="K55" i="7"/>
  <c r="J55" i="7"/>
  <c r="I55" i="7"/>
  <c r="H55" i="7"/>
  <c r="G55" i="7"/>
  <c r="F55" i="7"/>
  <c r="E55" i="7"/>
  <c r="Q54" i="7"/>
  <c r="P54" i="7"/>
  <c r="O54" i="7"/>
  <c r="N54" i="7"/>
  <c r="M54" i="7"/>
  <c r="L54" i="7"/>
  <c r="K54" i="7"/>
  <c r="J54" i="7"/>
  <c r="I54" i="7"/>
  <c r="H54" i="7"/>
  <c r="G54" i="7"/>
  <c r="F54" i="7"/>
  <c r="E54" i="7"/>
  <c r="Q53" i="7"/>
  <c r="P53" i="7"/>
  <c r="O53" i="7"/>
  <c r="N53" i="7"/>
  <c r="M53" i="7"/>
  <c r="L53" i="7"/>
  <c r="K53" i="7"/>
  <c r="J53" i="7"/>
  <c r="I53" i="7"/>
  <c r="H53" i="7"/>
  <c r="G53" i="7"/>
  <c r="F53" i="7"/>
  <c r="E53" i="7"/>
  <c r="Q52" i="7"/>
  <c r="P52" i="7"/>
  <c r="O52" i="7"/>
  <c r="N52" i="7"/>
  <c r="M52" i="7"/>
  <c r="L52" i="7"/>
  <c r="K52" i="7"/>
  <c r="J52" i="7"/>
  <c r="I52" i="7"/>
  <c r="H52" i="7"/>
  <c r="G52" i="7"/>
  <c r="F52" i="7"/>
  <c r="E52" i="7"/>
  <c r="Q51" i="7"/>
  <c r="P51" i="7"/>
  <c r="O51" i="7"/>
  <c r="N51" i="7"/>
  <c r="M51" i="7"/>
  <c r="L51" i="7"/>
  <c r="K51" i="7"/>
  <c r="J51" i="7"/>
  <c r="I51" i="7"/>
  <c r="H51" i="7"/>
  <c r="G51" i="7"/>
  <c r="F51" i="7"/>
  <c r="E51" i="7"/>
  <c r="Q50" i="7"/>
  <c r="P50" i="7"/>
  <c r="O50" i="7"/>
  <c r="N50" i="7"/>
  <c r="M50" i="7"/>
  <c r="L50" i="7"/>
  <c r="K50" i="7"/>
  <c r="J50" i="7"/>
  <c r="I50" i="7"/>
  <c r="H50" i="7"/>
  <c r="G50" i="7"/>
  <c r="F50" i="7"/>
  <c r="E50" i="7"/>
  <c r="Q49" i="7"/>
  <c r="P49" i="7"/>
  <c r="O49" i="7"/>
  <c r="N49" i="7"/>
  <c r="M49" i="7"/>
  <c r="L49" i="7"/>
  <c r="K49" i="7"/>
  <c r="J49" i="7"/>
  <c r="I49" i="7"/>
  <c r="H49" i="7"/>
  <c r="G49" i="7"/>
  <c r="F49" i="7"/>
  <c r="E49" i="7"/>
  <c r="Q48" i="7"/>
  <c r="P48" i="7"/>
  <c r="O48" i="7"/>
  <c r="N48" i="7"/>
  <c r="M48" i="7"/>
  <c r="L48" i="7"/>
  <c r="K48" i="7"/>
  <c r="J48" i="7"/>
  <c r="I48" i="7"/>
  <c r="H48" i="7"/>
  <c r="G48" i="7"/>
  <c r="F48" i="7"/>
  <c r="E48" i="7"/>
  <c r="Q47" i="7"/>
  <c r="P47" i="7"/>
  <c r="O47" i="7"/>
  <c r="N47" i="7"/>
  <c r="M47" i="7"/>
  <c r="L47" i="7"/>
  <c r="K47" i="7"/>
  <c r="J47" i="7"/>
  <c r="I47" i="7"/>
  <c r="H47" i="7"/>
  <c r="G47" i="7"/>
  <c r="F47" i="7"/>
  <c r="E47" i="7"/>
  <c r="Q46" i="7"/>
  <c r="P46" i="7"/>
  <c r="O46" i="7"/>
  <c r="N46" i="7"/>
  <c r="M46" i="7"/>
  <c r="L46" i="7"/>
  <c r="K46" i="7"/>
  <c r="J46" i="7"/>
  <c r="I46" i="7"/>
  <c r="H46" i="7"/>
  <c r="G46" i="7"/>
  <c r="F46" i="7"/>
  <c r="E46" i="7"/>
  <c r="Q45" i="7"/>
  <c r="P45" i="7"/>
  <c r="O45" i="7"/>
  <c r="N45" i="7"/>
  <c r="M45" i="7"/>
  <c r="L45" i="7"/>
  <c r="K45" i="7"/>
  <c r="J45" i="7"/>
  <c r="I45" i="7"/>
  <c r="H45" i="7"/>
  <c r="G45" i="7"/>
  <c r="F45" i="7"/>
  <c r="E45" i="7"/>
  <c r="Q44" i="7"/>
  <c r="P44" i="7"/>
  <c r="O44" i="7"/>
  <c r="N44" i="7"/>
  <c r="M44" i="7"/>
  <c r="L44" i="7"/>
  <c r="K44" i="7"/>
  <c r="J44" i="7"/>
  <c r="I44" i="7"/>
  <c r="H44" i="7"/>
  <c r="G44" i="7"/>
  <c r="F44" i="7"/>
  <c r="E44" i="7"/>
  <c r="Q43" i="7"/>
  <c r="P43" i="7"/>
  <c r="O43" i="7"/>
  <c r="N43" i="7"/>
  <c r="M43" i="7"/>
  <c r="L43" i="7"/>
  <c r="K43" i="7"/>
  <c r="J43" i="7"/>
  <c r="I43" i="7"/>
  <c r="H43" i="7"/>
  <c r="G43" i="7"/>
  <c r="F43" i="7"/>
  <c r="E43" i="7"/>
  <c r="Q42" i="7"/>
  <c r="P42" i="7"/>
  <c r="O42" i="7"/>
  <c r="N42" i="7"/>
  <c r="M42" i="7"/>
  <c r="L42" i="7"/>
  <c r="K42" i="7"/>
  <c r="J42" i="7"/>
  <c r="I42" i="7"/>
  <c r="H42" i="7"/>
  <c r="G42" i="7"/>
  <c r="F42" i="7"/>
  <c r="E42" i="7"/>
  <c r="Q41" i="7"/>
  <c r="P41" i="7"/>
  <c r="O41" i="7"/>
  <c r="N41" i="7"/>
  <c r="M41" i="7"/>
  <c r="L41" i="7"/>
  <c r="K41" i="7"/>
  <c r="J41" i="7"/>
  <c r="I41" i="7"/>
  <c r="H41" i="7"/>
  <c r="G41" i="7"/>
  <c r="F41" i="7"/>
  <c r="E41" i="7"/>
  <c r="Q40" i="7"/>
  <c r="P40" i="7"/>
  <c r="O40" i="7"/>
  <c r="N40" i="7"/>
  <c r="M40" i="7"/>
  <c r="L40" i="7"/>
  <c r="K40" i="7"/>
  <c r="J40" i="7"/>
  <c r="I40" i="7"/>
  <c r="H40" i="7"/>
  <c r="G40" i="7"/>
  <c r="F40" i="7"/>
  <c r="E40" i="7"/>
  <c r="Q39" i="7"/>
  <c r="P39" i="7"/>
  <c r="O39" i="7"/>
  <c r="N39" i="7"/>
  <c r="M39" i="7"/>
  <c r="L39" i="7"/>
  <c r="K39" i="7"/>
  <c r="J39" i="7"/>
  <c r="I39" i="7"/>
  <c r="H39" i="7"/>
  <c r="G39" i="7"/>
  <c r="F39" i="7"/>
  <c r="E39" i="7"/>
  <c r="Q38" i="7"/>
  <c r="P38" i="7"/>
  <c r="O38" i="7"/>
  <c r="N38" i="7"/>
  <c r="M38" i="7"/>
  <c r="L38" i="7"/>
  <c r="K38" i="7"/>
  <c r="J38" i="7"/>
  <c r="I38" i="7"/>
  <c r="H38" i="7"/>
  <c r="G38" i="7"/>
  <c r="F38" i="7"/>
  <c r="E38" i="7"/>
  <c r="Q37" i="7"/>
  <c r="P37" i="7"/>
  <c r="O37" i="7"/>
  <c r="N37" i="7"/>
  <c r="M37" i="7"/>
  <c r="L37" i="7"/>
  <c r="K37" i="7"/>
  <c r="J37" i="7"/>
  <c r="I37" i="7"/>
  <c r="H37" i="7"/>
  <c r="G37" i="7"/>
  <c r="F37" i="7"/>
  <c r="E37" i="7"/>
  <c r="Q36" i="7"/>
  <c r="P36" i="7"/>
  <c r="O36" i="7"/>
  <c r="N36" i="7"/>
  <c r="M36" i="7"/>
  <c r="L36" i="7"/>
  <c r="K36" i="7"/>
  <c r="J36" i="7"/>
  <c r="I36" i="7"/>
  <c r="H36" i="7"/>
  <c r="G36" i="7"/>
  <c r="F36" i="7"/>
  <c r="E36" i="7"/>
  <c r="Q35" i="7"/>
  <c r="P35" i="7"/>
  <c r="O35" i="7"/>
  <c r="N35" i="7"/>
  <c r="M35" i="7"/>
  <c r="L35" i="7"/>
  <c r="K35" i="7"/>
  <c r="J35" i="7"/>
  <c r="I35" i="7"/>
  <c r="H35" i="7"/>
  <c r="G35" i="7"/>
  <c r="F35" i="7"/>
  <c r="E35" i="7"/>
  <c r="Q34" i="7"/>
  <c r="P34" i="7"/>
  <c r="O34" i="7"/>
  <c r="N34" i="7"/>
  <c r="M34" i="7"/>
  <c r="L34" i="7"/>
  <c r="K34" i="7"/>
  <c r="J34" i="7"/>
  <c r="I34" i="7"/>
  <c r="H34" i="7"/>
  <c r="G34" i="7"/>
  <c r="F34" i="7"/>
  <c r="E34" i="7"/>
  <c r="Q33" i="7"/>
  <c r="P33" i="7"/>
  <c r="O33" i="7"/>
  <c r="N33" i="7"/>
  <c r="M33" i="7"/>
  <c r="L33" i="7"/>
  <c r="K33" i="7"/>
  <c r="J33" i="7"/>
  <c r="I33" i="7"/>
  <c r="H33" i="7"/>
  <c r="G33" i="7"/>
  <c r="F33" i="7"/>
  <c r="E33" i="7"/>
  <c r="Q32" i="7"/>
  <c r="P32" i="7"/>
  <c r="O32" i="7"/>
  <c r="N32" i="7"/>
  <c r="M32" i="7"/>
  <c r="L32" i="7"/>
  <c r="K32" i="7"/>
  <c r="J32" i="7"/>
  <c r="I32" i="7"/>
  <c r="H32" i="7"/>
  <c r="G32" i="7"/>
  <c r="F32" i="7"/>
  <c r="E32" i="7"/>
  <c r="Q31" i="7"/>
  <c r="P31" i="7"/>
  <c r="O31" i="7"/>
  <c r="N31" i="7"/>
  <c r="M31" i="7"/>
  <c r="L31" i="7"/>
  <c r="K31" i="7"/>
  <c r="J31" i="7"/>
  <c r="I31" i="7"/>
  <c r="H31" i="7"/>
  <c r="G31" i="7"/>
  <c r="F31" i="7"/>
  <c r="E31" i="7"/>
  <c r="Q30" i="7"/>
  <c r="P30" i="7"/>
  <c r="O30" i="7"/>
  <c r="N30" i="7"/>
  <c r="M30" i="7"/>
  <c r="L30" i="7"/>
  <c r="K30" i="7"/>
  <c r="J30" i="7"/>
  <c r="I30" i="7"/>
  <c r="H30" i="7"/>
  <c r="G30" i="7"/>
  <c r="F30" i="7"/>
  <c r="E30" i="7"/>
  <c r="Q29" i="7"/>
  <c r="P29" i="7"/>
  <c r="O29" i="7"/>
  <c r="N29" i="7"/>
  <c r="M29" i="7"/>
  <c r="L29" i="7"/>
  <c r="K29" i="7"/>
  <c r="J29" i="7"/>
  <c r="I29" i="7"/>
  <c r="H29" i="7"/>
  <c r="G29" i="7"/>
  <c r="F29" i="7"/>
  <c r="E29" i="7"/>
  <c r="Q28" i="7"/>
  <c r="P28" i="7"/>
  <c r="O28" i="7"/>
  <c r="N28" i="7"/>
  <c r="M28" i="7"/>
  <c r="L28" i="7"/>
  <c r="K28" i="7"/>
  <c r="J28" i="7"/>
  <c r="I28" i="7"/>
  <c r="H28" i="7"/>
  <c r="G28" i="7"/>
  <c r="F28" i="7"/>
  <c r="E28" i="7"/>
  <c r="Q27" i="7"/>
  <c r="P27" i="7"/>
  <c r="O27" i="7"/>
  <c r="N27" i="7"/>
  <c r="M27" i="7"/>
  <c r="L27" i="7"/>
  <c r="K27" i="7"/>
  <c r="J27" i="7"/>
  <c r="I27" i="7"/>
  <c r="H27" i="7"/>
  <c r="G27" i="7"/>
  <c r="F27" i="7"/>
  <c r="E27" i="7"/>
  <c r="Q26" i="7"/>
  <c r="P26" i="7"/>
  <c r="O26" i="7"/>
  <c r="N26" i="7"/>
  <c r="M26" i="7"/>
  <c r="L26" i="7"/>
  <c r="K26" i="7"/>
  <c r="J26" i="7"/>
  <c r="I26" i="7"/>
  <c r="H26" i="7"/>
  <c r="G26" i="7"/>
  <c r="F26" i="7"/>
  <c r="E26" i="7"/>
  <c r="Q25" i="7"/>
  <c r="P25" i="7"/>
  <c r="O25" i="7"/>
  <c r="N25" i="7"/>
  <c r="M25" i="7"/>
  <c r="L25" i="7"/>
  <c r="K25" i="7"/>
  <c r="J25" i="7"/>
  <c r="I25" i="7"/>
  <c r="H25" i="7"/>
  <c r="G25" i="7"/>
  <c r="F25" i="7"/>
  <c r="E25" i="7"/>
  <c r="Q24" i="7"/>
  <c r="P24" i="7"/>
  <c r="O24" i="7"/>
  <c r="N24" i="7"/>
  <c r="M24" i="7"/>
  <c r="L24" i="7"/>
  <c r="K24" i="7"/>
  <c r="J24" i="7"/>
  <c r="I24" i="7"/>
  <c r="H24" i="7"/>
  <c r="G24" i="7"/>
  <c r="F24" i="7"/>
  <c r="E24" i="7"/>
  <c r="Q23" i="7"/>
  <c r="P23" i="7"/>
  <c r="O23" i="7"/>
  <c r="N23" i="7"/>
  <c r="M23" i="7"/>
  <c r="L23" i="7"/>
  <c r="K23" i="7"/>
  <c r="J23" i="7"/>
  <c r="I23" i="7"/>
  <c r="H23" i="7"/>
  <c r="G23" i="7"/>
  <c r="F23" i="7"/>
  <c r="E23" i="7"/>
  <c r="Q22" i="7"/>
  <c r="P22" i="7"/>
  <c r="O22" i="7"/>
  <c r="N22" i="7"/>
  <c r="M22" i="7"/>
  <c r="L22" i="7"/>
  <c r="K22" i="7"/>
  <c r="J22" i="7"/>
  <c r="I22" i="7"/>
  <c r="H22" i="7"/>
  <c r="G22" i="7"/>
  <c r="F22" i="7"/>
  <c r="E22" i="7"/>
  <c r="Q21" i="7"/>
  <c r="P21" i="7"/>
  <c r="O21" i="7"/>
  <c r="N21" i="7"/>
  <c r="M21" i="7"/>
  <c r="L21" i="7"/>
  <c r="K21" i="7"/>
  <c r="J21" i="7"/>
  <c r="I21" i="7"/>
  <c r="H21" i="7"/>
  <c r="G21" i="7"/>
  <c r="F21" i="7"/>
  <c r="E21" i="7"/>
  <c r="Q20" i="7"/>
  <c r="P20" i="7"/>
  <c r="O20" i="7"/>
  <c r="N20" i="7"/>
  <c r="M20" i="7"/>
  <c r="L20" i="7"/>
  <c r="K20" i="7"/>
  <c r="J20" i="7"/>
  <c r="I20" i="7"/>
  <c r="H20" i="7"/>
  <c r="G20" i="7"/>
  <c r="F20" i="7"/>
  <c r="E20" i="7"/>
  <c r="Q19" i="7"/>
  <c r="P19" i="7"/>
  <c r="O19" i="7"/>
  <c r="N19" i="7"/>
  <c r="M19" i="7"/>
  <c r="L19" i="7"/>
  <c r="K19" i="7"/>
  <c r="J19" i="7"/>
  <c r="I19" i="7"/>
  <c r="H19" i="7"/>
  <c r="G19" i="7"/>
  <c r="F19" i="7"/>
  <c r="E19" i="7"/>
  <c r="Q18" i="7"/>
  <c r="P18" i="7"/>
  <c r="O18" i="7"/>
  <c r="N18" i="7"/>
  <c r="M18" i="7"/>
  <c r="L18" i="7"/>
  <c r="K18" i="7"/>
  <c r="J18" i="7"/>
  <c r="I18" i="7"/>
  <c r="H18" i="7"/>
  <c r="G18" i="7"/>
  <c r="F18" i="7"/>
  <c r="E18" i="7"/>
  <c r="Q17" i="7"/>
  <c r="P17" i="7"/>
  <c r="O17" i="7"/>
  <c r="N17" i="7"/>
  <c r="M17" i="7"/>
  <c r="L17" i="7"/>
  <c r="K17" i="7"/>
  <c r="J17" i="7"/>
  <c r="I17" i="7"/>
  <c r="H17" i="7"/>
  <c r="G17" i="7"/>
  <c r="F17" i="7"/>
  <c r="E17" i="7"/>
  <c r="Q16" i="7"/>
  <c r="P16" i="7"/>
  <c r="O16" i="7"/>
  <c r="N16" i="7"/>
  <c r="M16" i="7"/>
  <c r="L16" i="7"/>
  <c r="K16" i="7"/>
  <c r="J16" i="7"/>
  <c r="I16" i="7"/>
  <c r="H16" i="7"/>
  <c r="G16" i="7"/>
  <c r="F16" i="7"/>
  <c r="E16" i="7"/>
  <c r="Q15" i="7"/>
  <c r="P15" i="7"/>
  <c r="O15" i="7"/>
  <c r="N15" i="7"/>
  <c r="M15" i="7"/>
  <c r="L15" i="7"/>
  <c r="K15" i="7"/>
  <c r="J15" i="7"/>
  <c r="I15" i="7"/>
  <c r="H15" i="7"/>
  <c r="G15" i="7"/>
  <c r="F15" i="7"/>
  <c r="E15" i="7"/>
  <c r="Q14" i="7"/>
  <c r="P14" i="7"/>
  <c r="O14" i="7"/>
  <c r="N14" i="7"/>
  <c r="M14" i="7"/>
  <c r="L14" i="7"/>
  <c r="K14" i="7"/>
  <c r="J14" i="7"/>
  <c r="I14" i="7"/>
  <c r="H14" i="7"/>
  <c r="G14" i="7"/>
  <c r="F14" i="7"/>
  <c r="E14" i="7"/>
  <c r="Q13" i="7"/>
  <c r="P13" i="7"/>
  <c r="O13" i="7"/>
  <c r="N13" i="7"/>
  <c r="M13" i="7"/>
  <c r="L13" i="7"/>
  <c r="K13" i="7"/>
  <c r="J13" i="7"/>
  <c r="I13" i="7"/>
  <c r="H13" i="7"/>
  <c r="G13" i="7"/>
  <c r="F13" i="7"/>
  <c r="E13" i="7"/>
  <c r="Q12" i="7"/>
  <c r="P12" i="7"/>
  <c r="O12" i="7"/>
  <c r="N12" i="7"/>
  <c r="M12" i="7"/>
  <c r="L12" i="7"/>
  <c r="K12" i="7"/>
  <c r="J12" i="7"/>
  <c r="I12" i="7"/>
  <c r="H12" i="7"/>
  <c r="G12" i="7"/>
  <c r="F12" i="7"/>
  <c r="E12" i="7"/>
  <c r="Q11" i="7"/>
  <c r="P11" i="7"/>
  <c r="O11" i="7"/>
  <c r="N11" i="7"/>
  <c r="M11" i="7"/>
  <c r="L11" i="7"/>
  <c r="K11" i="7"/>
  <c r="J11" i="7"/>
  <c r="I11" i="7"/>
  <c r="H11" i="7"/>
  <c r="G11" i="7"/>
  <c r="F11" i="7"/>
  <c r="E11" i="7"/>
  <c r="Q10" i="7"/>
  <c r="P10" i="7"/>
  <c r="O10" i="7"/>
  <c r="N10" i="7"/>
  <c r="M10" i="7"/>
  <c r="L10" i="7"/>
  <c r="K10" i="7"/>
  <c r="J10" i="7"/>
  <c r="I10" i="7"/>
  <c r="H10" i="7"/>
  <c r="G10" i="7"/>
  <c r="F10" i="7"/>
  <c r="E10" i="7"/>
  <c r="Q9" i="7"/>
  <c r="P9" i="7"/>
  <c r="O9" i="7"/>
  <c r="N9" i="7"/>
  <c r="M9" i="7"/>
  <c r="L9" i="7"/>
  <c r="K9" i="7"/>
  <c r="J9" i="7"/>
  <c r="I9" i="7"/>
  <c r="H9" i="7"/>
  <c r="G9" i="7"/>
  <c r="F9" i="7"/>
  <c r="E9" i="7"/>
  <c r="Q8" i="7"/>
  <c r="P8" i="7"/>
  <c r="O8" i="7"/>
  <c r="N8" i="7"/>
  <c r="M8" i="7"/>
  <c r="L8" i="7"/>
  <c r="K8" i="7"/>
  <c r="J8" i="7"/>
  <c r="I8" i="7"/>
  <c r="H8" i="7"/>
  <c r="G8" i="7"/>
  <c r="F8" i="7"/>
  <c r="E8" i="7"/>
  <c r="Q7" i="7"/>
  <c r="P7" i="7"/>
  <c r="O7" i="7"/>
  <c r="N7" i="7"/>
  <c r="M7" i="7"/>
  <c r="L7" i="7"/>
  <c r="K7" i="7"/>
  <c r="J7" i="7"/>
  <c r="I7" i="7"/>
  <c r="H7" i="7"/>
  <c r="G7" i="7"/>
  <c r="F7" i="7"/>
  <c r="E7" i="7"/>
  <c r="Q6" i="7"/>
  <c r="P6" i="7"/>
  <c r="O6" i="7"/>
  <c r="N6" i="7"/>
  <c r="M6" i="7"/>
  <c r="L6" i="7"/>
  <c r="K6" i="7"/>
  <c r="J6" i="7"/>
  <c r="I6" i="7"/>
  <c r="H6" i="7"/>
  <c r="G6" i="7"/>
  <c r="F6" i="7"/>
  <c r="E6" i="7"/>
  <c r="Q5" i="7"/>
  <c r="P5" i="7"/>
  <c r="O5" i="7"/>
  <c r="N5" i="7"/>
  <c r="M5" i="7"/>
  <c r="L5" i="7"/>
  <c r="K5" i="7"/>
  <c r="J5" i="7"/>
  <c r="I5" i="7"/>
  <c r="H5" i="7"/>
  <c r="G5" i="7"/>
  <c r="F5" i="7"/>
  <c r="E5" i="7"/>
  <c r="Q4" i="7"/>
  <c r="P4" i="7"/>
  <c r="O4" i="7"/>
  <c r="N4" i="7"/>
  <c r="M4" i="7"/>
  <c r="L4" i="7"/>
  <c r="K4" i="7"/>
  <c r="J4" i="7"/>
  <c r="I4" i="7"/>
  <c r="H4" i="7"/>
  <c r="G4" i="7"/>
  <c r="F4" i="7"/>
  <c r="E4" i="7"/>
  <c r="Q3" i="7"/>
  <c r="P3" i="7"/>
  <c r="O3" i="7"/>
  <c r="N3" i="7"/>
  <c r="M3" i="7"/>
  <c r="L3" i="7"/>
  <c r="K3" i="7"/>
  <c r="J3" i="7"/>
  <c r="I3" i="7"/>
  <c r="H3" i="7"/>
  <c r="G3" i="7"/>
  <c r="F3" i="7"/>
  <c r="E3" i="7"/>
  <c r="H22" i="2"/>
  <c r="G22" i="2"/>
  <c r="F22" i="2"/>
  <c r="E22" i="2"/>
  <c r="D22" i="2"/>
  <c r="C22" i="2"/>
  <c r="B22" i="2"/>
  <c r="F16" i="2"/>
  <c r="E16" i="2"/>
  <c r="D16" i="2"/>
  <c r="C16" i="2"/>
  <c r="B16" i="2"/>
  <c r="H4" i="2"/>
  <c r="G4" i="2"/>
  <c r="F4" i="2"/>
  <c r="I16" i="6" l="1"/>
  <c r="B4" i="6"/>
  <c r="F3" i="6"/>
  <c r="F4" i="6"/>
  <c r="F5" i="6"/>
  <c r="F6" i="6"/>
  <c r="F7" i="6"/>
  <c r="F8" i="6"/>
  <c r="F9" i="6"/>
  <c r="F10" i="6"/>
  <c r="F11" i="6"/>
  <c r="F12" i="6"/>
  <c r="F13" i="6"/>
  <c r="F14" i="6"/>
  <c r="F15" i="6"/>
  <c r="E3" i="6"/>
  <c r="E4" i="6"/>
  <c r="E5" i="6"/>
  <c r="E6" i="6"/>
  <c r="G6" i="6" s="1"/>
  <c r="E7" i="6"/>
  <c r="G7" i="6" s="1"/>
  <c r="E8" i="6"/>
  <c r="E9" i="6"/>
  <c r="E10" i="6"/>
  <c r="E11" i="6"/>
  <c r="E12" i="6"/>
  <c r="E13" i="6"/>
  <c r="E14" i="6"/>
  <c r="G14" i="6" s="1"/>
  <c r="E15" i="6"/>
  <c r="C3" i="6"/>
  <c r="C4" i="6"/>
  <c r="C5" i="6"/>
  <c r="C6" i="6"/>
  <c r="C7" i="6"/>
  <c r="C8" i="6"/>
  <c r="C9" i="6"/>
  <c r="C10" i="6"/>
  <c r="C12" i="6"/>
  <c r="C13" i="6"/>
  <c r="C14" i="6"/>
  <c r="C15" i="6"/>
  <c r="B3" i="6"/>
  <c r="B5" i="6"/>
  <c r="B6" i="6"/>
  <c r="I6" i="6" s="1"/>
  <c r="B7" i="6"/>
  <c r="H7" i="6" s="1"/>
  <c r="B8" i="6"/>
  <c r="H8" i="6" s="1"/>
  <c r="B9" i="6"/>
  <c r="B10" i="6"/>
  <c r="B11" i="6"/>
  <c r="H11" i="6" s="1"/>
  <c r="B12" i="6"/>
  <c r="B13" i="6"/>
  <c r="I13" i="6" s="1"/>
  <c r="B14" i="6"/>
  <c r="B15" i="6"/>
  <c r="I12" i="6" l="1"/>
  <c r="G12" i="6"/>
  <c r="I10" i="6"/>
  <c r="G15" i="6"/>
  <c r="I5" i="6"/>
  <c r="G9" i="6"/>
  <c r="I15" i="6"/>
  <c r="H4" i="6"/>
  <c r="G5" i="6"/>
  <c r="H6" i="6"/>
  <c r="G4" i="6"/>
  <c r="I11" i="6"/>
  <c r="I14" i="6"/>
  <c r="G13" i="6"/>
  <c r="E16" i="6"/>
  <c r="F16" i="6"/>
  <c r="H10" i="6"/>
  <c r="G11" i="6"/>
  <c r="I8" i="6"/>
  <c r="I9" i="6"/>
  <c r="G10" i="6"/>
  <c r="G8" i="6"/>
  <c r="G3" i="6"/>
  <c r="I7" i="6"/>
  <c r="H15" i="6"/>
  <c r="H14" i="6"/>
  <c r="I4" i="6"/>
  <c r="H13" i="6"/>
  <c r="H12" i="6"/>
  <c r="C16" i="6"/>
  <c r="H9" i="6"/>
  <c r="D16" i="6" l="1"/>
  <c r="G16" i="6"/>
</calcChain>
</file>

<file path=xl/sharedStrings.xml><?xml version="1.0" encoding="utf-8"?>
<sst xmlns="http://schemas.openxmlformats.org/spreadsheetml/2006/main" count="1607" uniqueCount="513">
  <si>
    <t>Category</t>
  </si>
  <si>
    <t>Year</t>
  </si>
  <si>
    <t>Amount (₹ Crore)</t>
  </si>
  <si>
    <t>Sub-Category Label</t>
  </si>
  <si>
    <t>Revenue Receipts</t>
  </si>
  <si>
    <t>2013-14</t>
  </si>
  <si>
    <t>Total Revenue Receipts</t>
  </si>
  <si>
    <t>2014-15</t>
  </si>
  <si>
    <t>2015-16</t>
  </si>
  <si>
    <t>2016-17</t>
  </si>
  <si>
    <t>2017-18</t>
  </si>
  <si>
    <t>2018-19</t>
  </si>
  <si>
    <t>2019-20</t>
  </si>
  <si>
    <t>2020-21</t>
  </si>
  <si>
    <t>2021-22</t>
  </si>
  <si>
    <t>2022-23</t>
  </si>
  <si>
    <t>2023-24</t>
  </si>
  <si>
    <t>RE 2024-25</t>
  </si>
  <si>
    <t>BE 2025-26</t>
  </si>
  <si>
    <t>Revenue Expenditure</t>
  </si>
  <si>
    <t>Total Revenue Expenditure</t>
  </si>
  <si>
    <t>Capital Receipts</t>
  </si>
  <si>
    <t>Total Capital Account Receipts</t>
  </si>
  <si>
    <t>Capital Expenditure</t>
  </si>
  <si>
    <t>Total Capital Expenditure</t>
  </si>
  <si>
    <t>Revenue Receipts (₹Cr)</t>
  </si>
  <si>
    <t>Revenue Expenditure (₹Cr)</t>
  </si>
  <si>
    <t>Revenue Deficit (₹Cr)</t>
  </si>
  <si>
    <t>Capital Receipts (₹Cr)</t>
  </si>
  <si>
    <t>Capital Expenditure (₹Cr)</t>
  </si>
  <si>
    <t>Capital Surplus (₹Cr)</t>
  </si>
  <si>
    <t>Rev Growth %</t>
  </si>
  <si>
    <t>Trend</t>
  </si>
  <si>
    <t>-</t>
  </si>
  <si>
    <t>Base year</t>
  </si>
  <si>
    <t xml:space="preserve">Total </t>
  </si>
  <si>
    <t>ANALYTICS : Revenue &amp; Capital: Totals, Deficit/Surplus, Growth % ( ₹ in Crore)</t>
  </si>
  <si>
    <t xml:space="preserve"> Consolidated Fund of India  (₹ in Crore)</t>
  </si>
  <si>
    <t>STATEMENT I - CONSOLIDATED FUND OF INDIA - CAPITAL ACCOUNT - DISBURSEMENTS</t>
  </si>
  <si>
    <t xml:space="preserve">Actuals
2013-2014
</t>
  </si>
  <si>
    <t xml:space="preserve">Actuals
2014-2015
</t>
  </si>
  <si>
    <t xml:space="preserve">Actuals
2015-2016
</t>
  </si>
  <si>
    <t xml:space="preserve">Actuals
2016-2017
</t>
  </si>
  <si>
    <t xml:space="preserve">Actuals
2017-2018
</t>
  </si>
  <si>
    <t xml:space="preserve">Actuals
2018-2019
</t>
  </si>
  <si>
    <t xml:space="preserve">Actuals
2019-2020
</t>
  </si>
  <si>
    <t xml:space="preserve">Actuals
2020-2021
</t>
  </si>
  <si>
    <t xml:space="preserve">Actuals
2021-2022
</t>
  </si>
  <si>
    <t xml:space="preserve">Actuals
2022-2023
</t>
  </si>
  <si>
    <t xml:space="preserve">Actuals
2023-2024
</t>
  </si>
  <si>
    <t>Revised Estimates
2024-2025</t>
  </si>
  <si>
    <t>Budget Estimates
2025-2026</t>
  </si>
  <si>
    <t>A. CAPITAL ACCOUNT OF GENERAL SERVICES</t>
  </si>
  <si>
    <t>Audit</t>
  </si>
  <si>
    <t>...</t>
  </si>
  <si>
    <t>…</t>
  </si>
  <si>
    <t>Currency, Coinage and Mint</t>
  </si>
  <si>
    <t>Other Fiscal Services</t>
  </si>
  <si>
    <t>Police</t>
  </si>
  <si>
    <t>Stationery and Printing</t>
  </si>
  <si>
    <t>Public Works</t>
  </si>
  <si>
    <t>Other Administrative Services</t>
  </si>
  <si>
    <t>Miscellaneous General Services</t>
  </si>
  <si>
    <t>Defence Services</t>
  </si>
  <si>
    <t>B. CAPITAL ACCOUNT OF SOCIAL SERVICES</t>
  </si>
  <si>
    <t>Education, Sports, Art and Culture</t>
  </si>
  <si>
    <t>Medical and Public Health</t>
  </si>
  <si>
    <t>Family Welfare</t>
  </si>
  <si>
    <t>Housing</t>
  </si>
  <si>
    <t>Urban Development</t>
  </si>
  <si>
    <t>Information and Publicity</t>
  </si>
  <si>
    <t>Welfare of Scheduled Castes, Scheduled Tribes , Other Backward Classes and Minorities</t>
  </si>
  <si>
    <t>Social Security and Welfare</t>
  </si>
  <si>
    <t>other Social Services</t>
  </si>
  <si>
    <t>C. CAPITAL ACCOUNT OF  ECONOMIC SERVICES</t>
  </si>
  <si>
    <t>(a) Capital Account of Agriculture and allied activities</t>
  </si>
  <si>
    <t>Crop Husbandry</t>
  </si>
  <si>
    <t>Soil and Water Conservation</t>
  </si>
  <si>
    <t>Animal Husbandry</t>
  </si>
  <si>
    <t>Dairy Development</t>
  </si>
  <si>
    <t>Fisheries</t>
  </si>
  <si>
    <t>Forestry and Wild Life</t>
  </si>
  <si>
    <t>Food Storage and Warehousing</t>
  </si>
  <si>
    <t>Investments in Agricultural Financial Institutions</t>
  </si>
  <si>
    <t>Other Agricultural Programmes</t>
  </si>
  <si>
    <t>(j) Capital Account of Rural Development</t>
  </si>
  <si>
    <t>Other Rural Development Programmes</t>
  </si>
  <si>
    <t>(b) Capital Account of Special Areas Programmes</t>
  </si>
  <si>
    <t>North Eastern Areas</t>
  </si>
  <si>
    <t>(c) Capital account of Irrigation and Flood Control</t>
  </si>
  <si>
    <t>Major and Medium Irrigation</t>
  </si>
  <si>
    <t>Minor Irrigation</t>
  </si>
  <si>
    <t>Flood Control Projects</t>
  </si>
  <si>
    <t>(d) Capital Account of Energy</t>
  </si>
  <si>
    <t>Power Projects</t>
  </si>
  <si>
    <t>Petroleum</t>
  </si>
  <si>
    <t>Coal and Lignite</t>
  </si>
  <si>
    <t>New and Renewable Energy</t>
  </si>
  <si>
    <t>(e) Capital Account of Industry and Minerals</t>
  </si>
  <si>
    <t>Village and Small Industries</t>
  </si>
  <si>
    <t>Iron and Steel Industries</t>
  </si>
  <si>
    <t>Non-Ferrous Mining and Metallurgical Industries</t>
  </si>
  <si>
    <t>Chemical and Pharmaceutical Industries</t>
  </si>
  <si>
    <t>Engineering Industries</t>
  </si>
  <si>
    <t>Telecommunication and Electronic Industries</t>
  </si>
  <si>
    <t>Consumer Industries</t>
  </si>
  <si>
    <t>Atomic Energy Industries</t>
  </si>
  <si>
    <t>Other Industries</t>
  </si>
  <si>
    <t>Other Industries and Minerals</t>
  </si>
  <si>
    <t>(f) Capital Account of Transport</t>
  </si>
  <si>
    <t xml:space="preserve">Indian Railways - Commercial Lines  </t>
  </si>
  <si>
    <t>Indian Railways - Strategic Lines</t>
  </si>
  <si>
    <t>Ports and Light Houses</t>
  </si>
  <si>
    <t>Shipping</t>
  </si>
  <si>
    <t>Civil Aviation</t>
  </si>
  <si>
    <t>Roads and Bridges</t>
  </si>
  <si>
    <t>Road Transport</t>
  </si>
  <si>
    <t>Inland Water Transport</t>
  </si>
  <si>
    <t>Other Transport Services</t>
  </si>
  <si>
    <t>(g) Capital Account of Communications</t>
  </si>
  <si>
    <t>Postal Services</t>
  </si>
  <si>
    <t>Satellite System</t>
  </si>
  <si>
    <t>Other Communication Services</t>
  </si>
  <si>
    <t>(h) Capital Account of Science Technology and Environment</t>
  </si>
  <si>
    <t>Atomic Energy Research</t>
  </si>
  <si>
    <t>Space Research</t>
  </si>
  <si>
    <t>Oceanographic Research</t>
  </si>
  <si>
    <t>Other Scientific and Environmental Research</t>
  </si>
  <si>
    <t>(i) Capital Account of General Economic Services</t>
  </si>
  <si>
    <t>Tourism</t>
  </si>
  <si>
    <t>Foreign Trade and Export Promotion</t>
  </si>
  <si>
    <t>Meteorology</t>
  </si>
  <si>
    <t>Investments in General Financial and Trading Institutions</t>
  </si>
  <si>
    <t>Investments in International Financial Institutions</t>
  </si>
  <si>
    <t>Other General Economic Services</t>
  </si>
  <si>
    <t>Disbursements of Union Territories without Legislature</t>
  </si>
  <si>
    <t>TOTAL - CAPITAL EXPENDITURE OUTSIDE THE REVENUE ACCOUNT</t>
  </si>
  <si>
    <t xml:space="preserve"> PUBLIC DEBT</t>
  </si>
  <si>
    <t/>
  </si>
  <si>
    <t xml:space="preserve"> Internal Debt of Central Government</t>
  </si>
  <si>
    <t>Market Loans Less: Amount Met from GST Compensation Fund</t>
  </si>
  <si>
    <t>Buyback / Switching</t>
  </si>
  <si>
    <t>14 days Treasury Bills</t>
  </si>
  <si>
    <t>91 days Treasury Bills</t>
  </si>
  <si>
    <t>182 days Treasury Bills</t>
  </si>
  <si>
    <t>364 days Treasury Bills</t>
  </si>
  <si>
    <t>Cash Management Bills</t>
  </si>
  <si>
    <t>Ways and Means Advances</t>
  </si>
  <si>
    <t>Redemption of securities issued to International Financial Institutions</t>
  </si>
  <si>
    <t>Compensation and Other Bonds</t>
  </si>
  <si>
    <t>Redemption of Securities issued to NSSF</t>
  </si>
  <si>
    <t>Postal Life Insurance Fund</t>
  </si>
  <si>
    <t>Gold Monetization Scheme</t>
  </si>
  <si>
    <t>Sovereign Gold Bond Scheme Less Amount met from Gold Reserve Fund</t>
  </si>
  <si>
    <t>Market Stabilisation Bills/Bonds</t>
  </si>
  <si>
    <t>Others</t>
  </si>
  <si>
    <t>Total-Internal Debt of Central Government</t>
  </si>
  <si>
    <t xml:space="preserve"> External Debt</t>
  </si>
  <si>
    <t>TOTAL - PUBLIC DEBT</t>
  </si>
  <si>
    <t xml:space="preserve"> LOANS AND ADVANCES</t>
  </si>
  <si>
    <t>A. LOANS FOR SOCIAL SERVICES</t>
  </si>
  <si>
    <t>Loans for Urban Development</t>
  </si>
  <si>
    <t>B. LOANS FOR ECONOMIC SERVICES</t>
  </si>
  <si>
    <t>(a) Loans for Agriculture and allied activities</t>
  </si>
  <si>
    <t>Loans for Dairy Development</t>
  </si>
  <si>
    <t>Loans for Forestry and Wild Life</t>
  </si>
  <si>
    <t>Loans for  Food, Storage and Warehousing</t>
  </si>
  <si>
    <t>Loans to Agricultural Financial Institutions</t>
  </si>
  <si>
    <t>Loans for Cooperation</t>
  </si>
  <si>
    <t>(b) Loans for Special Area Programme</t>
  </si>
  <si>
    <t xml:space="preserve">Loans for  North Eastern Areas </t>
  </si>
  <si>
    <t>(c) Loans for Energy</t>
  </si>
  <si>
    <t>Loans for  Power Projects</t>
  </si>
  <si>
    <t>Loans for  Petroleum</t>
  </si>
  <si>
    <t>(d) Loans for Industry and Minerals</t>
  </si>
  <si>
    <t>Loans for  Village and Small Industries</t>
  </si>
  <si>
    <t>Loans for  Iron and Steel Industries</t>
  </si>
  <si>
    <t>Loans for  Cement and Non-Metallic Mineral Industries</t>
  </si>
  <si>
    <t>Loans for  Fertilizer Industries</t>
  </si>
  <si>
    <t>Loans for  Petro-Chemical Industries</t>
  </si>
  <si>
    <t>Loans for  Chemical and Pharmaceutical Industries</t>
  </si>
  <si>
    <t>Loans for  Engineering Industries</t>
  </si>
  <si>
    <t>Loans for  Telecommunication and Electronic Industries</t>
  </si>
  <si>
    <t>Loans for  Consumer Industries</t>
  </si>
  <si>
    <t>Other Loans to Industries and Minerals</t>
  </si>
  <si>
    <t>(j) Loans for Communications</t>
  </si>
  <si>
    <t>Loans for  Other Communication Services</t>
  </si>
  <si>
    <t>(e) Loans for Transport</t>
  </si>
  <si>
    <t>Loans for  Civil Aviation</t>
  </si>
  <si>
    <t>Loans for  Ports and Light Houses</t>
  </si>
  <si>
    <t>(f) Loans for Science Technology and Environment</t>
  </si>
  <si>
    <t>Loans for  Other Scientific Research</t>
  </si>
  <si>
    <t>(g) Loans for General Economic Services</t>
  </si>
  <si>
    <t>Loans to General Financial and Trading Institutions</t>
  </si>
  <si>
    <t>Loans to International Financial Institutions</t>
  </si>
  <si>
    <t>Loans for  Other General Economic Services</t>
  </si>
  <si>
    <t>C. OTHER LOANS</t>
  </si>
  <si>
    <t>Loans and Advances to State Governments</t>
  </si>
  <si>
    <t>Loans and Advances to Union Territory Governments</t>
  </si>
  <si>
    <t>Advances to Foreign Governments</t>
  </si>
  <si>
    <t>Loans to Government Servants, etc.</t>
  </si>
  <si>
    <t>Miscellaneous Loans</t>
  </si>
  <si>
    <t>D. TRANSFER TO CONTINGENCY FUND</t>
  </si>
  <si>
    <t>Appropriation to The Contingency Fund</t>
  </si>
  <si>
    <t>Loans and Advances for Union Territories without Legislature</t>
  </si>
  <si>
    <t>TOTAL - LOANS AND ADVANCES</t>
  </si>
  <si>
    <t>TOTAL - CAPITAL EXPENDITURE</t>
  </si>
  <si>
    <t>TOTAL - CONSOLIDATED FUND OF INDIA DISBURSEMENTS</t>
  </si>
  <si>
    <t>A. PUBLIC DEBT</t>
  </si>
  <si>
    <t>Internal Debt of Central Government</t>
  </si>
  <si>
    <t>Market Stabilisation Scheme</t>
  </si>
  <si>
    <t>Securities against Small Savings</t>
  </si>
  <si>
    <t>Market Loans</t>
  </si>
  <si>
    <t>Switching of Securities</t>
  </si>
  <si>
    <t>14 Days Treasury Bills</t>
  </si>
  <si>
    <t>91 Days Treasury Bills</t>
  </si>
  <si>
    <t>182 Days Treasury Bills</t>
  </si>
  <si>
    <t>364 Days Treasury Bills</t>
  </si>
  <si>
    <t>Ways &amp; Means Advances</t>
  </si>
  <si>
    <t xml:space="preserve"> Issuance of Special Securities to EXIM Bank</t>
  </si>
  <si>
    <t>Borrowing for providing back to back loans to States and UTs for GST compensation cess shortfall</t>
  </si>
  <si>
    <t>Issuance of Special Securities to Public Sector Banks</t>
  </si>
  <si>
    <t>External Debt</t>
  </si>
  <si>
    <t>B. RECOVERIES OF LOANS AND ADVANCES</t>
  </si>
  <si>
    <t>State Governments</t>
  </si>
  <si>
    <t>Union Territories (With Legislature)</t>
  </si>
  <si>
    <t>Foreign Governments</t>
  </si>
  <si>
    <t>Other Loans &amp; Advances (Public Sector Enterprises, Statutory Bodies etc.)</t>
  </si>
  <si>
    <t>TOTAL - RECOVERIES OF LOANS AND ADVANCES</t>
  </si>
  <si>
    <t>C. MISCELLANEOUS CAPITAL RECEIPTS</t>
  </si>
  <si>
    <t>TOTAL CAPITAL ACCOUNT RECEIPTS</t>
  </si>
  <si>
    <t>REVENUE RECEIPTS</t>
  </si>
  <si>
    <t>TOTAL-CONSOLIDATED FUND OF INDIA RECEIPTS</t>
  </si>
  <si>
    <t>STATEMENT I - CONSOLIDATED FUND OF INDIA - CAPITAL ACCOUNT - RECEIPT</t>
  </si>
  <si>
    <t>Categories</t>
  </si>
  <si>
    <t>STATEMENT I - CONSOLIDATED FUND OF INDIA - REVENUE ACCOUNT -  DISBURSEMENTS</t>
  </si>
  <si>
    <t>A. GENERAL SERVICES</t>
  </si>
  <si>
    <t>(a)Organs of State</t>
  </si>
  <si>
    <t>Parliament/State/Union Territory Legislatures</t>
  </si>
  <si>
    <t>President, Vice President/Governor, Administrator of Union Territories</t>
  </si>
  <si>
    <t>Council of Ministers</t>
  </si>
  <si>
    <t>Administration of Justice</t>
  </si>
  <si>
    <t>Elections</t>
  </si>
  <si>
    <t>(b)Tax Collection</t>
  </si>
  <si>
    <t>Collection of Taxes on Income and Expenditure</t>
  </si>
  <si>
    <t>Collection of Taxes on Wealth, Securities Transaction Tax and Other Taxes</t>
  </si>
  <si>
    <t>Customs</t>
  </si>
  <si>
    <t>Union Excise Duties</t>
  </si>
  <si>
    <t>Collection Charges under Central Goods and Services Tax and Integrated Goods and Services Tax</t>
  </si>
  <si>
    <t>(c)Other Fiscal Services</t>
  </si>
  <si>
    <t>(d)Interest Payment and Servicing of Debt</t>
  </si>
  <si>
    <t>Appropriation for  Reduction or Avoidance of Debt</t>
  </si>
  <si>
    <t>Interest Payments</t>
  </si>
  <si>
    <t>(e)Administrative Services</t>
  </si>
  <si>
    <t>Public Service Commission</t>
  </si>
  <si>
    <t>Secretariat-General Services</t>
  </si>
  <si>
    <t>Jails</t>
  </si>
  <si>
    <t>Supplies and Disposals</t>
  </si>
  <si>
    <t>External Affairs</t>
  </si>
  <si>
    <t>Vigilance</t>
  </si>
  <si>
    <t>(f)Pensions and Miscellaneous General Services</t>
  </si>
  <si>
    <t>Pensions and other Retirement Benefits</t>
  </si>
  <si>
    <t>(g)Defence Services</t>
  </si>
  <si>
    <t>Defence Services - Army</t>
  </si>
  <si>
    <t>Defence Services - Navy</t>
  </si>
  <si>
    <t>Defence Services - Air Force</t>
  </si>
  <si>
    <t>Defence Services- Coordination &amp; Services (Directorate of Ordnance)</t>
  </si>
  <si>
    <t>Defence Services - Research and Development</t>
  </si>
  <si>
    <t>B. SOCIAL SERVICES</t>
  </si>
  <si>
    <t>General Education</t>
  </si>
  <si>
    <t>Technical Education</t>
  </si>
  <si>
    <t>Sports and Youth Services</t>
  </si>
  <si>
    <t>Art and Culture</t>
  </si>
  <si>
    <t>Water Supply and Sanitation</t>
  </si>
  <si>
    <t>Broadcasting</t>
  </si>
  <si>
    <t>Welfare of Scheduled Castes, Scheduled Tribes, Other Backward Classes and Minorities</t>
  </si>
  <si>
    <t>Labour, Employment and Skill Development</t>
  </si>
  <si>
    <t>Nutrition</t>
  </si>
  <si>
    <t>Relief on account of Natural Calamities</t>
  </si>
  <si>
    <t>Other Social Services</t>
  </si>
  <si>
    <t>Secretariat-Social Services</t>
  </si>
  <si>
    <t>C. ECONOMIC SERVICES</t>
  </si>
  <si>
    <t>(a)Agriculture and Allied Activities</t>
  </si>
  <si>
    <t>Plantations</t>
  </si>
  <si>
    <t>Agricultural Research and Education</t>
  </si>
  <si>
    <t>Agricultural Financial Institutions</t>
  </si>
  <si>
    <t>Co-operation</t>
  </si>
  <si>
    <t>(b)Rural Development</t>
  </si>
  <si>
    <t>Special Programmes for  Rural Development</t>
  </si>
  <si>
    <t>Rural Employment</t>
  </si>
  <si>
    <t>Land Reforms</t>
  </si>
  <si>
    <t>(c)Special Areas Programmes</t>
  </si>
  <si>
    <t>MPs Local Area Development Scheme</t>
  </si>
  <si>
    <t>(d)Irrigation and Flood Control</t>
  </si>
  <si>
    <t>Major Irrigation</t>
  </si>
  <si>
    <t>Flood Control and Drainage</t>
  </si>
  <si>
    <t>(e)Energy</t>
  </si>
  <si>
    <t>Power</t>
  </si>
  <si>
    <t>(f)Industry and Minerals</t>
  </si>
  <si>
    <t>Industries</t>
  </si>
  <si>
    <t>Other Outlays on Industries and Minerals</t>
  </si>
  <si>
    <t>(g)Transport</t>
  </si>
  <si>
    <t>Indian Railways - Policy Formulation, Direction, Research and Other Miscelllaneous Organisations</t>
  </si>
  <si>
    <t xml:space="preserve">Indian Railways - Commercial  Lines - Working Expenses </t>
  </si>
  <si>
    <t>Indian Railways - Strategic Lines - Working Expenses</t>
  </si>
  <si>
    <t>Appropriation from Railway Surplus</t>
  </si>
  <si>
    <t>(h)Communications</t>
  </si>
  <si>
    <t>Satellite Systems</t>
  </si>
  <si>
    <t>(i)Science Technology and Environment</t>
  </si>
  <si>
    <t>Other Scientific Research</t>
  </si>
  <si>
    <t>Ecology and Environment</t>
  </si>
  <si>
    <t>(j)General Economic Services</t>
  </si>
  <si>
    <t>Secretariat-Economic Services</t>
  </si>
  <si>
    <t>Census Surveys and Statistics</t>
  </si>
  <si>
    <t>Civil Supplies</t>
  </si>
  <si>
    <t>General Financial and Trading Institutions</t>
  </si>
  <si>
    <t>International Financial Institutions</t>
  </si>
  <si>
    <t>D. GRANTS-IN-AID  AND CONTRIBUTIONS</t>
  </si>
  <si>
    <t>Grants-in-aid to State Governments</t>
  </si>
  <si>
    <t>Grants-in-aid to Union Territory Governments</t>
  </si>
  <si>
    <t>Technical and Economic Co-operation with Other Countries</t>
  </si>
  <si>
    <t>Aid Materials and Equipment</t>
  </si>
  <si>
    <t>TOTAL- REVENUE DISBURSEMENTS</t>
  </si>
  <si>
    <t>STATEMENT I - CONSOLIDATED FUND OF INDIA - REVENUE ACCOUNT - RECEIPTS</t>
  </si>
  <si>
    <t>A. TAX REVENUE</t>
  </si>
  <si>
    <t>(a) Goods and Services Tax</t>
  </si>
  <si>
    <t>Central Goods and Services Tax (CGST)</t>
  </si>
  <si>
    <t>Union Territory Goods and Services Tax (UTGST)</t>
  </si>
  <si>
    <t>Integrated Goods and Services Tax (IGST)</t>
  </si>
  <si>
    <t>Goods and Services Tax Compensation Cess</t>
  </si>
  <si>
    <t>(b) Taxes on Income and Expenditure</t>
  </si>
  <si>
    <t>Corporation Tax</t>
  </si>
  <si>
    <t>Taxes on Income Other Than Corporation Tax</t>
  </si>
  <si>
    <t>Hotel Receipts Tax</t>
  </si>
  <si>
    <t>Interest Tax</t>
  </si>
  <si>
    <t>Fringe Benefit Tax</t>
  </si>
  <si>
    <t>Other Taxes on Income and Expenditure</t>
  </si>
  <si>
    <t>(c) Taxes on Property and Capital Transactions</t>
  </si>
  <si>
    <t>Stamps and Registration Fees</t>
  </si>
  <si>
    <t>Gift tax</t>
  </si>
  <si>
    <t>Estate Duty</t>
  </si>
  <si>
    <t>Taxes on Wealth</t>
  </si>
  <si>
    <t>Securities Transaction Tax</t>
  </si>
  <si>
    <t>(d) Taxes on Commodities and Services other than Goods and Services Tax</t>
  </si>
  <si>
    <t>Banking Cash Transaction Tax</t>
  </si>
  <si>
    <t>Sales Tax</t>
  </si>
  <si>
    <t>Service Tax</t>
  </si>
  <si>
    <t>Other Taxes and Duties on Commodities and Services</t>
  </si>
  <si>
    <t>(e) Taxes of Union Territories without Legislature</t>
  </si>
  <si>
    <t>GROSS TAX REVENUE</t>
  </si>
  <si>
    <t>State's share excluded from the Consolidated Fund</t>
  </si>
  <si>
    <t>Tax Revenue of the Central Government</t>
  </si>
  <si>
    <t>B. NON-TAX REVENUE</t>
  </si>
  <si>
    <t>(a) Fiscal Services</t>
  </si>
  <si>
    <t>(b) Interest Receipts, Dividends and Profits</t>
  </si>
  <si>
    <t>Interest Receipts</t>
  </si>
  <si>
    <t>Interest from State and Union Territory Governments</t>
  </si>
  <si>
    <t>Interest from Railways</t>
  </si>
  <si>
    <t>Other Interest Receipts</t>
  </si>
  <si>
    <t>Dividends and Profits</t>
  </si>
  <si>
    <t>(c) Other NonTax Revenue</t>
  </si>
  <si>
    <r>
      <t xml:space="preserve">  </t>
    </r>
    <r>
      <rPr>
        <b/>
        <sz val="12"/>
        <color theme="1"/>
        <rFont val="Times New Roman"/>
        <family val="1"/>
      </rPr>
      <t xml:space="preserve">   (i) General Services</t>
    </r>
  </si>
  <si>
    <t>Contributions and Recoveries Towards Pension and Other Retirement Benefits</t>
  </si>
  <si>
    <t xml:space="preserve">      Defence Services</t>
  </si>
  <si>
    <r>
      <t xml:space="preserve">     </t>
    </r>
    <r>
      <rPr>
        <b/>
        <sz val="12"/>
        <color theme="1"/>
        <rFont val="Times New Roman"/>
        <family val="1"/>
      </rPr>
      <t>(ii) Social and Community Services</t>
    </r>
  </si>
  <si>
    <t>Labour and Employment</t>
  </si>
  <si>
    <r>
      <t xml:space="preserve">     </t>
    </r>
    <r>
      <rPr>
        <b/>
        <sz val="12"/>
        <color theme="1"/>
        <rFont val="Times New Roman"/>
        <family val="1"/>
      </rPr>
      <t>(iii) Economic Services</t>
    </r>
  </si>
  <si>
    <t>Food,Storage and Warehousing</t>
  </si>
  <si>
    <t>Co-Operation</t>
  </si>
  <si>
    <t>Non-Conventional Sources of Energy</t>
  </si>
  <si>
    <t>Indian Railways - Miscellaneous Receipts</t>
  </si>
  <si>
    <t>Indian Railways - Commercial Lines - Revenue Receipts</t>
  </si>
  <si>
    <t>Indian Railways - Strategic Lines - Revenue Receipts</t>
  </si>
  <si>
    <t>Postal Receipts</t>
  </si>
  <si>
    <t>Railways Revenue as per Railway Budget</t>
  </si>
  <si>
    <r>
      <t xml:space="preserve">    </t>
    </r>
    <r>
      <rPr>
        <b/>
        <sz val="12"/>
        <color theme="1"/>
        <rFont val="Times New Roman"/>
        <family val="1"/>
      </rPr>
      <t xml:space="preserve"> (iv) Non-Tax Revenue of Union Territories</t>
    </r>
  </si>
  <si>
    <t>C. GRANTS-IN-AID  AND CONTRIBUTIONS</t>
  </si>
  <si>
    <t>External Grant Assistance</t>
  </si>
  <si>
    <t>Aid Material and Equipment</t>
  </si>
  <si>
    <t>TOTAL - NON-TAX REVENUE</t>
  </si>
  <si>
    <t>TOTAL - REVENUE RECEIPTS</t>
  </si>
  <si>
    <t>Excess of Disbursements over Receipts (Revenue Deficit)</t>
  </si>
  <si>
    <t>TOTAL</t>
  </si>
  <si>
    <t>Statement</t>
  </si>
  <si>
    <t>Sub-Category</t>
  </si>
  <si>
    <t>Line Item</t>
  </si>
  <si>
    <t>Tax Revenue</t>
  </si>
  <si>
    <t>Tax Revenue of the Central Govt</t>
  </si>
  <si>
    <t>Tax Revenue - Gross</t>
  </si>
  <si>
    <t>Gross Tax Revenue</t>
  </si>
  <si>
    <t>States' Share (Devolution)</t>
  </si>
  <si>
    <t>Tax Revenue - GST</t>
  </si>
  <si>
    <t>GST (Total)</t>
  </si>
  <si>
    <t>CGST</t>
  </si>
  <si>
    <t>IGST</t>
  </si>
  <si>
    <t>GST Compensation Cess</t>
  </si>
  <si>
    <t>Tax Revenue - Income &amp; Expenditure</t>
  </si>
  <si>
    <t>Taxes on Income &amp; Expenditure (Total)</t>
  </si>
  <si>
    <t>Income Tax (excl. Corp Tax)</t>
  </si>
  <si>
    <t>Tax Revenue - Property &amp; Capital</t>
  </si>
  <si>
    <t>Taxes on Property &amp; Capital Transactions</t>
  </si>
  <si>
    <t>Tax Revenue - Commodities &amp; Services</t>
  </si>
  <si>
    <t>Taxes on Commodities &amp; Services (excl GST)</t>
  </si>
  <si>
    <t>Non-Tax Revenue</t>
  </si>
  <si>
    <t>Total Non-Tax Revenue</t>
  </si>
  <si>
    <t>Non-Tax Revenue - Fiscal Services</t>
  </si>
  <si>
    <t>Fiscal Services</t>
  </si>
  <si>
    <t>Non-Tax Revenue - Interest &amp; Dividends</t>
  </si>
  <si>
    <t>Interest Receipts, Dividends &amp; Profits</t>
  </si>
  <si>
    <t>Non-Tax Revenue - Other</t>
  </si>
  <si>
    <t>Other Non-Tax Revenue</t>
  </si>
  <si>
    <t>NTR: General Services</t>
  </si>
  <si>
    <t>NTR: Social &amp; Community Services</t>
  </si>
  <si>
    <t>NTR: Economic Services</t>
  </si>
  <si>
    <t>NTR: Postal Receipts</t>
  </si>
  <si>
    <t>NTR: Other Communication Services</t>
  </si>
  <si>
    <t>Grants-in-Aid</t>
  </si>
  <si>
    <t>Grants-in-Aid &amp; Contributions</t>
  </si>
  <si>
    <t>General Services</t>
  </si>
  <si>
    <t>General Services (Total)</t>
  </si>
  <si>
    <t>Organs of State</t>
  </si>
  <si>
    <t>Tax Collection</t>
  </si>
  <si>
    <t>Interest Payment &amp; Servicing of Debt</t>
  </si>
  <si>
    <t>Administrative Services</t>
  </si>
  <si>
    <t>Pensions &amp; Misc General Services</t>
  </si>
  <si>
    <t>Pensions &amp; Retirement Benefits</t>
  </si>
  <si>
    <t>Defence</t>
  </si>
  <si>
    <t>Defence Services - Revenue (Total)</t>
  </si>
  <si>
    <t>Defence - Army</t>
  </si>
  <si>
    <t>Defence - Navy</t>
  </si>
  <si>
    <t>Defence - Air Force</t>
  </si>
  <si>
    <t>Defence - R&amp;D</t>
  </si>
  <si>
    <t>Public Debt</t>
  </si>
  <si>
    <t>Total Public Debt</t>
  </si>
  <si>
    <t>Public Debt - Internal</t>
  </si>
  <si>
    <t>Internal Debt of Central Govt</t>
  </si>
  <si>
    <t>Public Debt - External</t>
  </si>
  <si>
    <t>Recoveries of Loans</t>
  </si>
  <si>
    <t>Total Recoveries of Loans &amp; Advances</t>
  </si>
  <si>
    <t>Recoveries from State Governments</t>
  </si>
  <si>
    <t>Misc Capital Receipts</t>
  </si>
  <si>
    <t>Miscellaneous Capital Receipts</t>
  </si>
  <si>
    <t>Outside Revenue Account</t>
  </si>
  <si>
    <t>Cap Exp Outside Revenue Account</t>
  </si>
  <si>
    <t>Capital Acct - General Services</t>
  </si>
  <si>
    <t>Capital - Defence Services</t>
  </si>
  <si>
    <t>Social Services</t>
  </si>
  <si>
    <t>Capital Acct - Social Services</t>
  </si>
  <si>
    <t>Economic Services</t>
  </si>
  <si>
    <t>Capital Acct - Economic Services</t>
  </si>
  <si>
    <t>Capital - Energy</t>
  </si>
  <si>
    <t>Capital - Industry &amp; Minerals</t>
  </si>
  <si>
    <t>Capital - Transport (Total)</t>
  </si>
  <si>
    <t>Capital - Indian Railways (Commercial)</t>
  </si>
  <si>
    <t>Capital - Civil Aviation</t>
  </si>
  <si>
    <t>Capital - Roads &amp; Bridges</t>
  </si>
  <si>
    <t>Capital - Science, Tech &amp; Environment</t>
  </si>
  <si>
    <t>Capital - General Economic Services</t>
  </si>
  <si>
    <t>Investments in Financial Institutions</t>
  </si>
  <si>
    <t>Public Debt Repayment</t>
  </si>
  <si>
    <t>Total Public Debt Repayment</t>
  </si>
  <si>
    <t>Loans &amp; Advances</t>
  </si>
  <si>
    <t>Total Loans &amp; Advances</t>
  </si>
  <si>
    <t>Loans to State Governments</t>
  </si>
  <si>
    <t>SUB-COMPONENTS-Consolidated Fund of India  (₹ in Crore)</t>
  </si>
  <si>
    <t>Pivot 1 -  Receipts vs Expenditure Over Time (₹ Crore)</t>
  </si>
  <si>
    <t>Row Labels</t>
  </si>
  <si>
    <t>Grand Total</t>
  </si>
  <si>
    <t>Column Labels</t>
  </si>
  <si>
    <t>Sum of Revenue Deficit (₹Cr)</t>
  </si>
  <si>
    <t>Capital Receipts (₹Crore)</t>
  </si>
  <si>
    <t>Capital Expenditure (₹Crore)</t>
  </si>
  <si>
    <t>Revenue Expenditure (₹Crore)</t>
  </si>
  <si>
    <t>Revenue Receipts (₹Crore)</t>
  </si>
  <si>
    <t>Sum of Capital Surplus (₹Cr)</t>
  </si>
  <si>
    <t>(2013-14)</t>
  </si>
  <si>
    <t>(2014-15)</t>
  </si>
  <si>
    <t>( 2015-16)</t>
  </si>
  <si>
    <t>(2016-17)</t>
  </si>
  <si>
    <t>(2017-18)</t>
  </si>
  <si>
    <t>( 2018-19)</t>
  </si>
  <si>
    <t>(2019-20)</t>
  </si>
  <si>
    <t>(2020-21)</t>
  </si>
  <si>
    <t>(2021-22)</t>
  </si>
  <si>
    <t>(2022-23)</t>
  </si>
  <si>
    <t>(2023-24)</t>
  </si>
  <si>
    <t>( RE 2024-25)</t>
  </si>
  <si>
    <t>( BE 2025-26)</t>
  </si>
  <si>
    <t>Years</t>
  </si>
  <si>
    <t>Sum of 2023-24</t>
  </si>
  <si>
    <t>Capital Expenditure Total</t>
  </si>
  <si>
    <t>Energy</t>
  </si>
  <si>
    <t>Industry &amp; Minerals</t>
  </si>
  <si>
    <t>Indian Railways (Commercial)</t>
  </si>
  <si>
    <t>Roads &amp; Bridges</t>
  </si>
  <si>
    <t xml:space="preserve"> Science, Tech &amp; Environment</t>
  </si>
  <si>
    <t>Capital Receipts Total</t>
  </si>
  <si>
    <t>Net New Debt</t>
  </si>
  <si>
    <t>2025-26</t>
  </si>
  <si>
    <t xml:space="preserve"> 2020-21</t>
  </si>
  <si>
    <t xml:space="preserve"> 2013-14</t>
  </si>
  <si>
    <t>(2015-16)</t>
  </si>
  <si>
    <t>(2018-19)</t>
  </si>
  <si>
    <t>(RE 2024-25)</t>
  </si>
  <si>
    <t>(BE 2025-26)</t>
  </si>
  <si>
    <t>Revenue Deficit(₹Cr)</t>
  </si>
  <si>
    <t>Capital Surplus(₹Cr)</t>
  </si>
  <si>
    <t>Visit Detailed Report</t>
  </si>
  <si>
    <t>Source Data</t>
  </si>
  <si>
    <t>Air Force</t>
  </si>
  <si>
    <t>Army</t>
  </si>
  <si>
    <t>Navy</t>
  </si>
  <si>
    <t>R&amp;D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</si>
</sst>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0.00;\-0.00;&quot;...&quot;"/>
    <numFmt numFmtId="165" formatCode="[$-10409]0.00;\(0.00\);&quot;...&quot;"/>
    <numFmt numFmtId="166" formatCode="#,##0.00;\(#,##0.00\);\-"/>
    <numFmt numFmtId="167" formatCode="&quot;₹ &quot;0.00,,&quot;L Cr&quot;"/>
  </numFmts>
  <fonts count="48" x14ac:knownFonts="1">
    <font>
      <sz val="11"/>
      <color theme="1"/>
      <name val="Calibri"/>
      <family val="2"/>
      <scheme val="minor"/>
    </font>
    <font>
      <b/>
      <sz val="11"/>
      <color theme="0"/>
      <name val="Calibri"/>
      <family val="2"/>
      <scheme val="minor"/>
    </font>
    <font>
      <sz val="11"/>
      <color theme="0"/>
      <name val="Calibri"/>
      <family val="2"/>
      <scheme val="minor"/>
    </font>
    <font>
      <b/>
      <sz val="11"/>
      <color rgb="FFFFFFFF"/>
      <name val="Calibri"/>
      <charset val="1"/>
    </font>
    <font>
      <b/>
      <sz val="10"/>
      <color rgb="FF1D4ED8"/>
      <name val="Calibri"/>
      <charset val="1"/>
    </font>
    <font>
      <sz val="10"/>
      <color rgb="FF334155"/>
      <name val="Calibri"/>
      <charset val="1"/>
    </font>
    <font>
      <sz val="10"/>
      <color rgb="FF1E293B"/>
      <name val="Calibri"/>
      <charset val="1"/>
    </font>
    <font>
      <b/>
      <sz val="10"/>
      <color rgb="FFB91C1C"/>
      <name val="Calibri"/>
      <charset val="1"/>
    </font>
    <font>
      <b/>
      <sz val="10"/>
      <color rgb="FF0F766E"/>
      <name val="Calibri"/>
      <charset val="1"/>
    </font>
    <font>
      <b/>
      <sz val="10"/>
      <color rgb="FFB45309"/>
      <name val="Calibri"/>
      <charset val="1"/>
    </font>
    <font>
      <i/>
      <sz val="10"/>
      <name val="Calibri"/>
      <family val="2"/>
    </font>
    <font>
      <b/>
      <sz val="10"/>
      <color rgb="FF1D4ED8"/>
      <name val="Calibri"/>
      <family val="2"/>
      <charset val="1"/>
    </font>
    <font>
      <b/>
      <sz val="10"/>
      <color rgb="FFFFFFFF"/>
      <name val="Calibri"/>
      <family val="2"/>
    </font>
    <font>
      <sz val="11"/>
      <name val="Calibri"/>
      <family val="2"/>
      <scheme val="minor"/>
    </font>
    <font>
      <b/>
      <sz val="10"/>
      <color theme="0"/>
      <name val="Calibri"/>
      <family val="2"/>
    </font>
    <font>
      <sz val="11"/>
      <color theme="1" tint="4.9989318521683403E-2"/>
      <name val="Calibri"/>
      <family val="2"/>
      <scheme val="minor"/>
    </font>
    <font>
      <b/>
      <sz val="11"/>
      <name val="Calibri"/>
      <family val="2"/>
      <scheme val="minor"/>
    </font>
    <font>
      <i/>
      <sz val="11"/>
      <name val="Calibri"/>
      <family val="2"/>
      <scheme val="minor"/>
    </font>
    <font>
      <b/>
      <sz val="12"/>
      <color theme="1"/>
      <name val="Times New Roman"/>
      <family val="1"/>
    </font>
    <font>
      <sz val="12"/>
      <color theme="1"/>
      <name val="Times New Roman"/>
      <family val="1"/>
    </font>
    <font>
      <b/>
      <sz val="12"/>
      <color rgb="FF000000"/>
      <name val="Times New Roman"/>
      <family val="1"/>
    </font>
    <font>
      <b/>
      <sz val="12"/>
      <color indexed="8"/>
      <name val="Times New Roman"/>
      <family val="1"/>
    </font>
    <font>
      <sz val="12"/>
      <color rgb="FF000000"/>
      <name val="Times New Roman"/>
      <family val="1"/>
    </font>
    <font>
      <sz val="12"/>
      <color indexed="8"/>
      <name val="Times New Roman"/>
      <family val="1"/>
    </font>
    <font>
      <sz val="12"/>
      <name val="Times New Roman"/>
      <family val="1"/>
    </font>
    <font>
      <sz val="9.5"/>
      <color theme="1"/>
      <name val="Arial"/>
      <family val="2"/>
    </font>
    <font>
      <b/>
      <sz val="12"/>
      <name val="Times New Roman"/>
      <family val="1"/>
    </font>
    <font>
      <sz val="11"/>
      <color rgb="FF000000"/>
      <name val="Calibri"/>
      <family val="2"/>
      <scheme val="minor"/>
    </font>
    <font>
      <sz val="8"/>
      <color indexed="8"/>
      <name val="Arial"/>
      <family val="2"/>
    </font>
    <font>
      <sz val="7"/>
      <color rgb="FF0C447C"/>
      <name val="Courier New"/>
      <family val="3"/>
    </font>
    <font>
      <b/>
      <sz val="10"/>
      <color rgb="FFB45309"/>
      <name val="Calibri"/>
      <family val="2"/>
    </font>
    <font>
      <sz val="10"/>
      <color rgb="FF334155"/>
      <name val="Calibri"/>
      <family val="2"/>
    </font>
    <font>
      <sz val="10"/>
      <color rgb="FF1E293B"/>
      <name val="Calibri"/>
      <family val="2"/>
    </font>
    <font>
      <b/>
      <sz val="12"/>
      <color rgb="FF1F4E79"/>
      <name val="Arial"/>
      <family val="2"/>
    </font>
    <font>
      <b/>
      <sz val="10"/>
      <color rgb="FFFFFFFF"/>
      <name val="Arial"/>
      <family val="2"/>
    </font>
    <font>
      <b/>
      <sz val="9"/>
      <color rgb="FF1F4E79"/>
      <name val="Arial"/>
      <family val="2"/>
    </font>
    <font>
      <b/>
      <sz val="9"/>
      <color rgb="FF008000"/>
      <name val="Arial"/>
      <family val="2"/>
    </font>
    <font>
      <sz val="9"/>
      <color rgb="FF000000"/>
      <name val="Arial"/>
      <family val="2"/>
    </font>
    <font>
      <sz val="9"/>
      <color rgb="FF008000"/>
      <name val="Arial"/>
      <family val="2"/>
    </font>
    <font>
      <b/>
      <sz val="11"/>
      <color theme="1"/>
      <name val="Calibri"/>
      <family val="2"/>
      <scheme val="minor"/>
    </font>
    <font>
      <sz val="16"/>
      <name val="Calibri"/>
      <family val="2"/>
      <scheme val="minor"/>
    </font>
    <font>
      <b/>
      <sz val="24"/>
      <color theme="1"/>
      <name val="Calibri"/>
      <family val="2"/>
      <scheme val="minor"/>
    </font>
    <font>
      <u/>
      <sz val="11"/>
      <color theme="10"/>
      <name val="Calibri"/>
      <family val="2"/>
      <scheme val="minor"/>
    </font>
    <font>
      <sz val="11"/>
      <color theme="1"/>
      <name val="Bookman Old Style"/>
      <family val="1"/>
    </font>
    <font>
      <u/>
      <sz val="48"/>
      <color theme="10"/>
      <name val="Calibri"/>
      <family val="2"/>
      <scheme val="minor"/>
    </font>
    <font>
      <sz val="18"/>
      <color theme="2"/>
      <name val="Bookman Old Style"/>
      <family val="1"/>
    </font>
    <font>
      <sz val="20"/>
      <color theme="2"/>
      <name val="Bookman Old Style"/>
      <family val="1"/>
    </font>
    <font>
      <sz val="22"/>
      <color theme="2"/>
      <name val="Calibri"/>
      <family val="2"/>
      <scheme val="minor"/>
    </font>
  </fonts>
  <fills count="33">
    <fill>
      <patternFill patternType="none"/>
    </fill>
    <fill>
      <patternFill patternType="gray125"/>
    </fill>
    <fill>
      <patternFill patternType="solid">
        <fgColor rgb="FF1E3A5F"/>
        <bgColor rgb="FF334155"/>
      </patternFill>
    </fill>
    <fill>
      <patternFill patternType="solid">
        <fgColor rgb="FFDBEAFE"/>
        <bgColor rgb="FFE0E7FF"/>
      </patternFill>
    </fill>
    <fill>
      <patternFill patternType="solid">
        <fgColor rgb="FFFEE2E2"/>
        <bgColor rgb="FFFFEDD5"/>
      </patternFill>
    </fill>
    <fill>
      <patternFill patternType="solid">
        <fgColor rgb="FFD1FAE5"/>
        <bgColor rgb="FFDCFCE7"/>
      </patternFill>
    </fill>
    <fill>
      <patternFill patternType="solid">
        <fgColor rgb="FFFEF3C7"/>
        <bgColor rgb="FFFFEDD5"/>
      </patternFill>
    </fill>
    <fill>
      <patternFill patternType="solid">
        <fgColor rgb="FF1D4ED8"/>
        <bgColor rgb="FF3366FF"/>
      </patternFill>
    </fill>
    <fill>
      <patternFill patternType="solid">
        <fgColor rgb="FFB91C1C"/>
        <bgColor rgb="FF7F1D1D"/>
      </patternFill>
    </fill>
    <fill>
      <patternFill patternType="solid">
        <fgColor rgb="FF0F766E"/>
        <bgColor rgb="FF15803D"/>
      </patternFill>
    </fill>
    <fill>
      <patternFill patternType="solid">
        <fgColor rgb="FF15803D"/>
        <bgColor rgb="FF0F766E"/>
      </patternFill>
    </fill>
    <fill>
      <patternFill patternType="solid">
        <fgColor rgb="FF191981"/>
        <bgColor rgb="FF1E293B"/>
      </patternFill>
    </fill>
    <fill>
      <patternFill patternType="solid">
        <fgColor rgb="FF191981"/>
        <bgColor indexed="64"/>
      </patternFill>
    </fill>
    <fill>
      <patternFill patternType="solid">
        <fgColor rgb="FF00206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theme="2"/>
        <bgColor indexed="64"/>
      </patternFill>
    </fill>
    <fill>
      <patternFill patternType="solid">
        <fgColor theme="1" tint="0.499984740745262"/>
        <bgColor indexed="64"/>
      </patternFill>
    </fill>
    <fill>
      <patternFill patternType="solid">
        <fgColor theme="5" tint="-0.249977111117893"/>
        <bgColor indexed="64"/>
      </patternFill>
    </fill>
    <fill>
      <patternFill patternType="solid">
        <fgColor rgb="FF1F4E79"/>
        <bgColor rgb="FF0F4C75"/>
      </patternFill>
    </fill>
    <fill>
      <patternFill patternType="solid">
        <fgColor rgb="FFE2EFDA"/>
        <bgColor rgb="FFDCFCE7"/>
      </patternFill>
    </fill>
    <fill>
      <patternFill patternType="solid">
        <fgColor theme="4" tint="0.79998168889431442"/>
        <bgColor theme="4" tint="0.79998168889431442"/>
      </patternFill>
    </fill>
    <fill>
      <patternFill patternType="solid">
        <fgColor theme="2" tint="-9.9948118533890809E-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rgb="FF008000"/>
        <bgColor indexed="64"/>
      </patternFill>
    </fill>
  </fills>
  <borders count="17">
    <border>
      <left/>
      <right/>
      <top/>
      <bottom/>
      <diagonal/>
    </border>
    <border>
      <left style="thin">
        <color rgb="FFCBD5E1"/>
      </left>
      <right style="thin">
        <color rgb="FFCBD5E1"/>
      </right>
      <top style="thin">
        <color rgb="FFCBD5E1"/>
      </top>
      <bottom style="thin">
        <color rgb="FFCBD5E1"/>
      </bottom>
      <diagonal/>
    </border>
    <border>
      <left style="thin">
        <color rgb="FF94A3B8"/>
      </left>
      <right style="thin">
        <color rgb="FF94A3B8"/>
      </right>
      <top/>
      <bottom style="thin">
        <color rgb="FF94A3B8"/>
      </bottom>
      <diagonal/>
    </border>
    <border>
      <left style="thin">
        <color rgb="FFCBD5E1"/>
      </left>
      <right style="thin">
        <color rgb="FFCBD5E1"/>
      </right>
      <top style="thin">
        <color rgb="FFCBD5E1"/>
      </top>
      <bottom/>
      <diagonal/>
    </border>
    <border>
      <left/>
      <right style="medium">
        <color rgb="FF666666"/>
      </right>
      <top/>
      <bottom/>
      <diagonal/>
    </border>
    <border>
      <left style="thin">
        <color rgb="FF000000"/>
      </left>
      <right style="thin">
        <color rgb="FF000000"/>
      </right>
      <top/>
      <bottom/>
      <diagonal/>
    </border>
    <border>
      <left style="thin">
        <color indexed="8"/>
      </left>
      <right style="thin">
        <color indexed="8"/>
      </right>
      <top/>
      <bottom/>
      <diagonal/>
    </border>
    <border>
      <left style="thin">
        <color rgb="FF000000"/>
      </left>
      <right style="thin">
        <color rgb="FF000000"/>
      </right>
      <top style="thin">
        <color rgb="FF000000"/>
      </top>
      <bottom/>
      <diagonal/>
    </border>
    <border>
      <left style="thin">
        <color rgb="FF656565"/>
      </left>
      <right style="thin">
        <color rgb="FF656565"/>
      </right>
      <top/>
      <bottom/>
      <diagonal/>
    </border>
    <border>
      <left style="thin">
        <color rgb="FF656565"/>
      </left>
      <right style="thin">
        <color rgb="FF656565"/>
      </right>
      <top style="thin">
        <color rgb="FF656565"/>
      </top>
      <bottom/>
      <diagonal/>
    </border>
    <border>
      <left style="thin">
        <color rgb="FF000000"/>
      </left>
      <right style="medium">
        <color rgb="FF666666"/>
      </right>
      <top/>
      <bottom/>
      <diagonal/>
    </border>
    <border>
      <left style="thin">
        <color rgb="FF656565"/>
      </left>
      <right style="thin">
        <color rgb="FF656565"/>
      </right>
      <top/>
      <bottom style="thin">
        <color rgb="FF656565"/>
      </bottom>
      <diagonal/>
    </border>
    <border>
      <left style="thin">
        <color rgb="FF000000"/>
      </left>
      <right style="thin">
        <color rgb="FF000000"/>
      </right>
      <top/>
      <bottom style="thin">
        <color rgb="FF000000"/>
      </bottom>
      <diagonal/>
    </border>
    <border>
      <left style="thin">
        <color indexed="8"/>
      </left>
      <right style="thin">
        <color indexed="8"/>
      </right>
      <top/>
      <bottom style="thin">
        <color indexed="8"/>
      </bottom>
      <diagonal/>
    </border>
    <border>
      <left style="thin">
        <color rgb="FF000000"/>
      </left>
      <right/>
      <top/>
      <bottom/>
      <diagonal/>
    </border>
    <border>
      <left style="thin">
        <color indexed="8"/>
      </left>
      <right/>
      <top/>
      <bottom/>
      <diagonal/>
    </border>
    <border>
      <left/>
      <right/>
      <top/>
      <bottom style="thin">
        <color theme="4" tint="0.39997558519241921"/>
      </bottom>
      <diagonal/>
    </border>
  </borders>
  <cellStyleXfs count="3">
    <xf numFmtId="0" fontId="0" fillId="0" borderId="0"/>
    <xf numFmtId="0" fontId="27" fillId="0" borderId="0"/>
    <xf numFmtId="0" fontId="42" fillId="0" borderId="0" applyNumberFormat="0" applyFill="0" applyBorder="0" applyAlignment="0" applyProtection="0"/>
  </cellStyleXfs>
  <cellXfs count="167">
    <xf numFmtId="0" fontId="0" fillId="0" borderId="0" xfId="0"/>
    <xf numFmtId="0" fontId="4" fillId="3" borderId="1" xfId="0" applyFont="1" applyFill="1" applyBorder="1" applyAlignment="1">
      <alignment horizontal="left" vertical="center"/>
    </xf>
    <xf numFmtId="0" fontId="5" fillId="3" borderId="1" xfId="0" applyFont="1" applyFill="1" applyBorder="1" applyAlignment="1">
      <alignment horizontal="center" vertical="center"/>
    </xf>
    <xf numFmtId="0" fontId="7" fillId="4" borderId="1" xfId="0" applyFont="1" applyFill="1" applyBorder="1" applyAlignment="1">
      <alignment horizontal="left" vertical="center"/>
    </xf>
    <xf numFmtId="0" fontId="5" fillId="4" borderId="1" xfId="0" applyFont="1" applyFill="1" applyBorder="1" applyAlignment="1">
      <alignment horizontal="center" vertical="center"/>
    </xf>
    <xf numFmtId="0" fontId="8" fillId="5" borderId="1" xfId="0" applyFont="1" applyFill="1" applyBorder="1" applyAlignment="1">
      <alignment horizontal="left" vertical="center"/>
    </xf>
    <xf numFmtId="0" fontId="5" fillId="5" borderId="1" xfId="0" applyFont="1" applyFill="1" applyBorder="1" applyAlignment="1">
      <alignment horizontal="center" vertical="center"/>
    </xf>
    <xf numFmtId="0" fontId="9" fillId="6" borderId="1" xfId="0" applyFont="1" applyFill="1" applyBorder="1" applyAlignment="1">
      <alignment horizontal="left" vertical="center"/>
    </xf>
    <xf numFmtId="0" fontId="5" fillId="6" borderId="1" xfId="0" applyFont="1" applyFill="1" applyBorder="1" applyAlignment="1">
      <alignment horizontal="center" vertical="center"/>
    </xf>
    <xf numFmtId="0" fontId="10" fillId="3" borderId="1" xfId="0" applyFont="1" applyFill="1" applyBorder="1" applyAlignment="1">
      <alignment horizontal="left" vertical="center"/>
    </xf>
    <xf numFmtId="0" fontId="10" fillId="4" borderId="1" xfId="0" applyFont="1" applyFill="1" applyBorder="1" applyAlignment="1">
      <alignment horizontal="left" vertical="center"/>
    </xf>
    <xf numFmtId="0" fontId="10" fillId="5" borderId="1" xfId="0" applyFont="1" applyFill="1" applyBorder="1" applyAlignment="1">
      <alignment horizontal="left" vertical="center"/>
    </xf>
    <xf numFmtId="0" fontId="10" fillId="6" borderId="1" xfId="0" applyFont="1" applyFill="1" applyBorder="1" applyAlignment="1">
      <alignment horizontal="left" vertical="center"/>
    </xf>
    <xf numFmtId="0" fontId="3" fillId="2" borderId="2" xfId="0" applyFont="1" applyFill="1" applyBorder="1" applyAlignment="1">
      <alignment horizontal="center" vertical="center"/>
    </xf>
    <xf numFmtId="0" fontId="9" fillId="6" borderId="3" xfId="0" applyFont="1" applyFill="1" applyBorder="1" applyAlignment="1">
      <alignment horizontal="left" vertical="center"/>
    </xf>
    <xf numFmtId="0" fontId="5" fillId="6" borderId="3" xfId="0" applyFont="1" applyFill="1" applyBorder="1" applyAlignment="1">
      <alignment horizontal="center" vertical="center"/>
    </xf>
    <xf numFmtId="0" fontId="10" fillId="6" borderId="3" xfId="0" applyFont="1" applyFill="1" applyBorder="1" applyAlignment="1">
      <alignment horizontal="left" vertical="center"/>
    </xf>
    <xf numFmtId="0" fontId="2" fillId="12" borderId="0" xfId="0" applyFont="1" applyFill="1" applyAlignment="1">
      <alignment horizontal="center"/>
    </xf>
    <xf numFmtId="0" fontId="0" fillId="0" borderId="0" xfId="0" applyFill="1"/>
    <xf numFmtId="0" fontId="12" fillId="11" borderId="2"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2" fillId="10" borderId="2" xfId="0" applyFont="1" applyFill="1" applyBorder="1" applyAlignment="1">
      <alignment horizontal="center" vertical="center" wrapText="1"/>
    </xf>
    <xf numFmtId="0" fontId="0" fillId="0" borderId="0" xfId="0" applyAlignment="1">
      <alignment horizontal="center"/>
    </xf>
    <xf numFmtId="10" fontId="12" fillId="7" borderId="2" xfId="0" applyNumberFormat="1" applyFont="1" applyFill="1" applyBorder="1" applyAlignment="1">
      <alignment horizontal="center" vertical="center" wrapText="1"/>
    </xf>
    <xf numFmtId="10" fontId="0" fillId="0" borderId="0" xfId="0" applyNumberFormat="1"/>
    <xf numFmtId="10" fontId="0" fillId="0" borderId="0" xfId="0" applyNumberFormat="1" applyAlignment="1">
      <alignment horizontal="center"/>
    </xf>
    <xf numFmtId="0" fontId="14" fillId="13" borderId="2" xfId="0" applyFont="1" applyFill="1" applyBorder="1" applyAlignment="1">
      <alignment horizontal="center" vertical="center" wrapText="1"/>
    </xf>
    <xf numFmtId="4" fontId="0" fillId="16" borderId="0" xfId="0" applyNumberFormat="1" applyFill="1" applyAlignment="1">
      <alignment horizontal="center"/>
    </xf>
    <xf numFmtId="4" fontId="0" fillId="17" borderId="0" xfId="0" applyNumberFormat="1" applyFill="1" applyAlignment="1">
      <alignment horizontal="center"/>
    </xf>
    <xf numFmtId="4" fontId="0" fillId="18" borderId="0" xfId="0" applyNumberFormat="1" applyFill="1" applyAlignment="1">
      <alignment horizontal="center"/>
    </xf>
    <xf numFmtId="4" fontId="0" fillId="19" borderId="0" xfId="0" applyNumberFormat="1" applyFill="1" applyAlignment="1">
      <alignment horizontal="center"/>
    </xf>
    <xf numFmtId="4" fontId="0" fillId="20" borderId="0" xfId="0" applyNumberFormat="1" applyFill="1" applyAlignment="1">
      <alignment horizontal="center"/>
    </xf>
    <xf numFmtId="4" fontId="0" fillId="21" borderId="0" xfId="0" applyNumberFormat="1" applyFill="1" applyAlignment="1">
      <alignment horizontal="center"/>
    </xf>
    <xf numFmtId="0" fontId="16" fillId="22" borderId="0" xfId="0" applyFont="1" applyFill="1" applyAlignment="1">
      <alignment horizontal="center"/>
    </xf>
    <xf numFmtId="4" fontId="16" fillId="22" borderId="0" xfId="0" applyNumberFormat="1" applyFont="1" applyFill="1" applyAlignment="1">
      <alignment horizontal="center"/>
    </xf>
    <xf numFmtId="10" fontId="16" fillId="22" borderId="0" xfId="0" applyNumberFormat="1" applyFont="1" applyFill="1" applyAlignment="1">
      <alignment horizontal="center"/>
    </xf>
    <xf numFmtId="0" fontId="16" fillId="22" borderId="0" xfId="0" applyNumberFormat="1" applyFont="1" applyFill="1" applyAlignment="1">
      <alignment horizontal="center"/>
    </xf>
    <xf numFmtId="10" fontId="13" fillId="23" borderId="0" xfId="0" applyNumberFormat="1" applyFont="1" applyFill="1" applyAlignment="1">
      <alignment horizontal="center"/>
    </xf>
    <xf numFmtId="0" fontId="17" fillId="23" borderId="0" xfId="0" applyFont="1" applyFill="1" applyAlignment="1">
      <alignment horizontal="center"/>
    </xf>
    <xf numFmtId="0" fontId="15" fillId="14" borderId="0" xfId="0" applyFont="1" applyFill="1" applyAlignment="1">
      <alignment horizontal="center"/>
    </xf>
    <xf numFmtId="0" fontId="15" fillId="15" borderId="0" xfId="0" applyFont="1" applyFill="1" applyAlignment="1">
      <alignment horizontal="center"/>
    </xf>
    <xf numFmtId="4" fontId="6" fillId="3" borderId="1" xfId="0" applyNumberFormat="1" applyFont="1" applyFill="1" applyBorder="1" applyAlignment="1">
      <alignment horizontal="center" vertical="center"/>
    </xf>
    <xf numFmtId="4" fontId="6" fillId="4" borderId="1" xfId="0" applyNumberFormat="1" applyFont="1" applyFill="1" applyBorder="1" applyAlignment="1">
      <alignment horizontal="center" vertical="center"/>
    </xf>
    <xf numFmtId="4" fontId="6" fillId="5" borderId="1" xfId="0" applyNumberFormat="1" applyFont="1" applyFill="1" applyBorder="1" applyAlignment="1">
      <alignment horizontal="center" vertical="center"/>
    </xf>
    <xf numFmtId="4" fontId="6" fillId="6" borderId="1" xfId="0" applyNumberFormat="1" applyFont="1" applyFill="1" applyBorder="1" applyAlignment="1">
      <alignment horizontal="center" vertical="center"/>
    </xf>
    <xf numFmtId="4" fontId="6" fillId="6" borderId="3" xfId="0" applyNumberFormat="1" applyFont="1" applyFill="1" applyBorder="1" applyAlignment="1">
      <alignment horizontal="center" vertical="center"/>
    </xf>
    <xf numFmtId="0" fontId="19" fillId="0" borderId="0" xfId="0" applyFont="1" applyFill="1"/>
    <xf numFmtId="0" fontId="18" fillId="0" borderId="0" xfId="0" applyFont="1" applyFill="1" applyAlignment="1">
      <alignment horizontal="right" vertical="center" wrapText="1"/>
    </xf>
    <xf numFmtId="0" fontId="18" fillId="0" borderId="0" xfId="0" applyFont="1" applyFill="1" applyAlignment="1">
      <alignment vertical="center" wrapText="1"/>
    </xf>
    <xf numFmtId="0" fontId="18" fillId="0" borderId="0" xfId="0" applyFont="1" applyFill="1" applyAlignment="1">
      <alignment horizontal="center"/>
    </xf>
    <xf numFmtId="0" fontId="18" fillId="0" borderId="0" xfId="0" applyFont="1" applyFill="1" applyAlignment="1">
      <alignment horizontal="right"/>
    </xf>
    <xf numFmtId="2" fontId="18" fillId="0" borderId="4" xfId="0" applyNumberFormat="1" applyFont="1" applyFill="1" applyBorder="1" applyAlignment="1">
      <alignment horizontal="right" vertical="top"/>
    </xf>
    <xf numFmtId="2" fontId="18" fillId="0" borderId="4" xfId="0" applyNumberFormat="1" applyFont="1" applyFill="1" applyBorder="1" applyAlignment="1">
      <alignment horizontal="right" vertical="top" wrapText="1"/>
    </xf>
    <xf numFmtId="164" fontId="20" fillId="0" borderId="5" xfId="0" applyNumberFormat="1" applyFont="1" applyFill="1" applyBorder="1" applyAlignment="1">
      <alignment horizontal="right" vertical="top" wrapText="1" readingOrder="1"/>
    </xf>
    <xf numFmtId="164" fontId="21" fillId="0" borderId="6" xfId="0" applyNumberFormat="1" applyFont="1" applyFill="1" applyBorder="1" applyAlignment="1" applyProtection="1">
      <alignment horizontal="right" vertical="top" wrapText="1" readingOrder="1"/>
      <protection locked="0"/>
    </xf>
    <xf numFmtId="2" fontId="20" fillId="0" borderId="7" xfId="0" applyNumberFormat="1" applyFont="1" applyFill="1" applyBorder="1" applyAlignment="1">
      <alignment horizontal="right" vertical="top" shrinkToFit="1"/>
    </xf>
    <xf numFmtId="2" fontId="19" fillId="0" borderId="4" xfId="0" applyNumberFormat="1" applyFont="1" applyFill="1" applyBorder="1" applyAlignment="1">
      <alignment horizontal="right" vertical="top"/>
    </xf>
    <xf numFmtId="164" fontId="22" fillId="0" borderId="5" xfId="0" applyNumberFormat="1" applyFont="1" applyFill="1" applyBorder="1" applyAlignment="1">
      <alignment horizontal="right" vertical="top" wrapText="1" readingOrder="1"/>
    </xf>
    <xf numFmtId="164" fontId="23" fillId="0" borderId="6" xfId="0" applyNumberFormat="1" applyFont="1" applyFill="1" applyBorder="1" applyAlignment="1" applyProtection="1">
      <alignment horizontal="right" vertical="top" wrapText="1" readingOrder="1"/>
      <protection locked="0"/>
    </xf>
    <xf numFmtId="2" fontId="22" fillId="0" borderId="5" xfId="0" applyNumberFormat="1" applyFont="1" applyFill="1" applyBorder="1" applyAlignment="1">
      <alignment horizontal="right" vertical="top" shrinkToFit="1"/>
    </xf>
    <xf numFmtId="0" fontId="19" fillId="0" borderId="0" xfId="0" applyFont="1" applyFill="1" applyAlignment="1">
      <alignment horizontal="right"/>
    </xf>
    <xf numFmtId="2" fontId="19" fillId="0" borderId="4" xfId="0" applyNumberFormat="1" applyFont="1" applyFill="1" applyBorder="1" applyAlignment="1">
      <alignment horizontal="right" vertical="top" wrapText="1"/>
    </xf>
    <xf numFmtId="2" fontId="22" fillId="0" borderId="8" xfId="0" applyNumberFormat="1" applyFont="1" applyFill="1" applyBorder="1" applyAlignment="1">
      <alignment horizontal="right" vertical="top" shrinkToFit="1"/>
    </xf>
    <xf numFmtId="0" fontId="24" fillId="0" borderId="5" xfId="0" applyFont="1" applyFill="1" applyBorder="1" applyAlignment="1">
      <alignment horizontal="right" vertical="top" wrapText="1"/>
    </xf>
    <xf numFmtId="2" fontId="20" fillId="0" borderId="8" xfId="0" applyNumberFormat="1" applyFont="1" applyFill="1" applyBorder="1" applyAlignment="1">
      <alignment horizontal="right" vertical="top" shrinkToFit="1"/>
    </xf>
    <xf numFmtId="2" fontId="20" fillId="0" borderId="5" xfId="0" applyNumberFormat="1" applyFont="1" applyFill="1" applyBorder="1" applyAlignment="1">
      <alignment horizontal="right" vertical="top" shrinkToFit="1"/>
    </xf>
    <xf numFmtId="0" fontId="24" fillId="0" borderId="8" xfId="0" applyFont="1" applyFill="1" applyBorder="1" applyAlignment="1">
      <alignment horizontal="right" vertical="top" wrapText="1"/>
    </xf>
    <xf numFmtId="0" fontId="18" fillId="0" borderId="0" xfId="0" applyFont="1" applyFill="1"/>
    <xf numFmtId="2" fontId="25" fillId="0" borderId="4" xfId="0" applyNumberFormat="1" applyFont="1" applyFill="1" applyBorder="1" applyAlignment="1">
      <alignment horizontal="right" vertical="top"/>
    </xf>
    <xf numFmtId="2" fontId="20" fillId="0" borderId="9" xfId="0" applyNumberFormat="1" applyFont="1" applyFill="1" applyBorder="1" applyAlignment="1">
      <alignment horizontal="right" vertical="top" shrinkToFit="1"/>
    </xf>
    <xf numFmtId="2" fontId="19" fillId="0" borderId="10" xfId="0" applyNumberFormat="1" applyFont="1" applyFill="1" applyBorder="1" applyAlignment="1">
      <alignment horizontal="right" vertical="center" wrapText="1"/>
    </xf>
    <xf numFmtId="0" fontId="21" fillId="0" borderId="6" xfId="0" applyFont="1" applyFill="1" applyBorder="1" applyAlignment="1" applyProtection="1">
      <alignment horizontal="right" vertical="top" wrapText="1" readingOrder="1"/>
      <protection locked="0"/>
    </xf>
    <xf numFmtId="0" fontId="20" fillId="0" borderId="5" xfId="0" applyFont="1" applyFill="1" applyBorder="1" applyAlignment="1">
      <alignment horizontal="right" vertical="top" wrapText="1" readingOrder="1"/>
    </xf>
    <xf numFmtId="2" fontId="22" fillId="0" borderId="9" xfId="0" applyNumberFormat="1" applyFont="1" applyFill="1" applyBorder="1" applyAlignment="1">
      <alignment horizontal="right" vertical="top" shrinkToFit="1"/>
    </xf>
    <xf numFmtId="0" fontId="18" fillId="0" borderId="0" xfId="0" applyFont="1" applyFill="1" applyAlignment="1">
      <alignment horizontal="left"/>
    </xf>
    <xf numFmtId="0" fontId="26" fillId="0" borderId="8" xfId="0" applyFont="1" applyFill="1" applyBorder="1" applyAlignment="1">
      <alignment horizontal="right" vertical="top" wrapText="1"/>
    </xf>
    <xf numFmtId="164" fontId="22" fillId="0" borderId="0" xfId="0" applyNumberFormat="1" applyFont="1" applyFill="1" applyAlignment="1">
      <alignment horizontal="right" vertical="top" wrapText="1" readingOrder="1"/>
    </xf>
    <xf numFmtId="0" fontId="26" fillId="0" borderId="5" xfId="0" applyFont="1" applyFill="1" applyBorder="1" applyAlignment="1">
      <alignment horizontal="right" vertical="top" wrapText="1"/>
    </xf>
    <xf numFmtId="2" fontId="20" fillId="0" borderId="8" xfId="0" applyNumberFormat="1" applyFont="1" applyFill="1" applyBorder="1" applyAlignment="1">
      <alignment horizontal="right" vertical="center" shrinkToFit="1"/>
    </xf>
    <xf numFmtId="2" fontId="20" fillId="0" borderId="11" xfId="0" applyNumberFormat="1" applyFont="1" applyFill="1" applyBorder="1" applyAlignment="1">
      <alignment horizontal="right" vertical="top" shrinkToFit="1"/>
    </xf>
    <xf numFmtId="164" fontId="20" fillId="0" borderId="12" xfId="0" applyNumberFormat="1" applyFont="1" applyFill="1" applyBorder="1" applyAlignment="1">
      <alignment horizontal="right" vertical="top" wrapText="1" readingOrder="1"/>
    </xf>
    <xf numFmtId="164" fontId="21" fillId="0" borderId="13" xfId="0" applyNumberFormat="1" applyFont="1" applyFill="1" applyBorder="1" applyAlignment="1" applyProtection="1">
      <alignment horizontal="right" vertical="top" wrapText="1" readingOrder="1"/>
      <protection locked="0"/>
    </xf>
    <xf numFmtId="0" fontId="24" fillId="0" borderId="0" xfId="0" applyFont="1" applyFill="1"/>
    <xf numFmtId="0" fontId="26" fillId="0" borderId="0" xfId="0" applyFont="1" applyFill="1" applyAlignment="1">
      <alignment vertical="center" wrapText="1"/>
    </xf>
    <xf numFmtId="0" fontId="26" fillId="0" borderId="0" xfId="0" applyFont="1" applyFill="1" applyAlignment="1">
      <alignment horizontal="center"/>
    </xf>
    <xf numFmtId="0" fontId="26" fillId="0" borderId="14" xfId="0" applyFont="1" applyFill="1" applyBorder="1" applyAlignment="1">
      <alignment horizontal="right" vertical="top" wrapText="1" readingOrder="1"/>
    </xf>
    <xf numFmtId="0" fontId="26" fillId="0" borderId="0" xfId="0" applyFont="1" applyFill="1"/>
    <xf numFmtId="165" fontId="24" fillId="0" borderId="5" xfId="0" applyNumberFormat="1" applyFont="1" applyFill="1" applyBorder="1" applyAlignment="1">
      <alignment horizontal="right" vertical="top" wrapText="1" readingOrder="1"/>
    </xf>
    <xf numFmtId="0" fontId="24" fillId="0" borderId="5" xfId="0" applyFont="1" applyFill="1" applyBorder="1" applyAlignment="1">
      <alignment horizontal="right" vertical="top" wrapText="1" readingOrder="1"/>
    </xf>
    <xf numFmtId="165" fontId="24" fillId="0" borderId="6" xfId="0" applyNumberFormat="1" applyFont="1" applyFill="1" applyBorder="1" applyAlignment="1" applyProtection="1">
      <alignment vertical="top" wrapText="1" readingOrder="1"/>
      <protection locked="0"/>
    </xf>
    <xf numFmtId="2" fontId="24" fillId="0" borderId="4" xfId="0" applyNumberFormat="1" applyFont="1" applyFill="1" applyBorder="1" applyAlignment="1">
      <alignment horizontal="right" vertical="top"/>
    </xf>
    <xf numFmtId="165" fontId="24" fillId="0" borderId="5" xfId="1" applyNumberFormat="1" applyFont="1" applyFill="1" applyBorder="1" applyAlignment="1">
      <alignment horizontal="right" vertical="top" wrapText="1" readingOrder="1"/>
    </xf>
    <xf numFmtId="165" fontId="24" fillId="0" borderId="6" xfId="0" applyNumberFormat="1" applyFont="1" applyFill="1" applyBorder="1" applyAlignment="1" applyProtection="1">
      <alignment horizontal="right" vertical="top" wrapText="1" readingOrder="1"/>
      <protection locked="0"/>
    </xf>
    <xf numFmtId="2" fontId="24" fillId="0" borderId="4" xfId="0" applyNumberFormat="1" applyFont="1" applyFill="1" applyBorder="1" applyAlignment="1">
      <alignment horizontal="right" vertical="top" wrapText="1"/>
    </xf>
    <xf numFmtId="2" fontId="24" fillId="0" borderId="5" xfId="0" applyNumberFormat="1" applyFont="1" applyFill="1" applyBorder="1" applyAlignment="1">
      <alignment horizontal="right" vertical="top" shrinkToFit="1"/>
    </xf>
    <xf numFmtId="164" fontId="24" fillId="0" borderId="6" xfId="0" applyNumberFormat="1" applyFont="1" applyFill="1" applyBorder="1" applyAlignment="1" applyProtection="1">
      <alignment horizontal="right" vertical="top" wrapText="1" readingOrder="1"/>
      <protection locked="0"/>
    </xf>
    <xf numFmtId="164" fontId="24" fillId="0" borderId="5" xfId="0" applyNumberFormat="1" applyFont="1" applyFill="1" applyBorder="1" applyAlignment="1">
      <alignment horizontal="right" vertical="top" wrapText="1" readingOrder="1"/>
    </xf>
    <xf numFmtId="2" fontId="24" fillId="0" borderId="8" xfId="0" applyNumberFormat="1" applyFont="1" applyFill="1" applyBorder="1" applyAlignment="1">
      <alignment vertical="top" shrinkToFit="1"/>
    </xf>
    <xf numFmtId="0" fontId="24" fillId="0" borderId="0" xfId="0" applyFont="1" applyFill="1" applyAlignment="1">
      <alignment horizontal="right"/>
    </xf>
    <xf numFmtId="0" fontId="24" fillId="0" borderId="0" xfId="0" applyFont="1" applyFill="1" applyAlignment="1">
      <alignment vertical="top"/>
    </xf>
    <xf numFmtId="164" fontId="24" fillId="0" borderId="6" xfId="0" applyNumberFormat="1" applyFont="1" applyFill="1" applyBorder="1" applyAlignment="1" applyProtection="1">
      <alignment horizontal="right" wrapText="1" readingOrder="1"/>
      <protection locked="0"/>
    </xf>
    <xf numFmtId="2" fontId="24" fillId="0" borderId="0" xfId="0" applyNumberFormat="1" applyFont="1" applyFill="1" applyAlignment="1">
      <alignment horizontal="right" vertical="top" shrinkToFit="1"/>
    </xf>
    <xf numFmtId="2" fontId="26" fillId="0" borderId="8" xfId="0" applyNumberFormat="1" applyFont="1" applyFill="1" applyBorder="1" applyAlignment="1">
      <alignment vertical="top" shrinkToFit="1"/>
    </xf>
    <xf numFmtId="2" fontId="26" fillId="0" borderId="4" xfId="0" applyNumberFormat="1" applyFont="1" applyFill="1" applyBorder="1" applyAlignment="1">
      <alignment horizontal="right" vertical="top"/>
    </xf>
    <xf numFmtId="2" fontId="26" fillId="0" borderId="4" xfId="0" applyNumberFormat="1" applyFont="1" applyFill="1" applyBorder="1" applyAlignment="1">
      <alignment horizontal="right" vertical="top" wrapText="1"/>
    </xf>
    <xf numFmtId="165" fontId="26" fillId="0" borderId="5" xfId="0" applyNumberFormat="1" applyFont="1" applyFill="1" applyBorder="1" applyAlignment="1">
      <alignment horizontal="right" vertical="top" wrapText="1" readingOrder="1"/>
    </xf>
    <xf numFmtId="165" fontId="26" fillId="0" borderId="6" xfId="0" applyNumberFormat="1" applyFont="1" applyFill="1" applyBorder="1" applyAlignment="1" applyProtection="1">
      <alignment horizontal="right" vertical="top" wrapText="1" readingOrder="1"/>
      <protection locked="0"/>
    </xf>
    <xf numFmtId="2" fontId="26" fillId="0" borderId="5" xfId="0" applyNumberFormat="1" applyFont="1" applyFill="1" applyBorder="1" applyAlignment="1">
      <alignment horizontal="right" vertical="top" shrinkToFit="1"/>
    </xf>
    <xf numFmtId="165" fontId="26" fillId="0" borderId="15" xfId="0" applyNumberFormat="1" applyFont="1" applyFill="1" applyBorder="1" applyAlignment="1" applyProtection="1">
      <alignment horizontal="right" vertical="top" wrapText="1" readingOrder="1"/>
      <protection locked="0"/>
    </xf>
    <xf numFmtId="165" fontId="26" fillId="0" borderId="14" xfId="0" applyNumberFormat="1" applyFont="1" applyFill="1" applyBorder="1" applyAlignment="1">
      <alignment horizontal="right" vertical="top" wrapText="1" readingOrder="1"/>
    </xf>
    <xf numFmtId="0" fontId="24" fillId="0" borderId="0" xfId="0" applyFont="1" applyFill="1" applyAlignment="1">
      <alignment horizontal="center" vertical="center"/>
    </xf>
    <xf numFmtId="0" fontId="19" fillId="0" borderId="0" xfId="0" applyFont="1" applyFill="1" applyAlignment="1">
      <alignment horizontal="center" vertical="center"/>
    </xf>
    <xf numFmtId="0" fontId="0" fillId="0" borderId="0" xfId="0" applyAlignment="1">
      <alignment horizontal="center" vertical="center"/>
    </xf>
    <xf numFmtId="164" fontId="22" fillId="0" borderId="5" xfId="0" applyNumberFormat="1" applyFont="1" applyFill="1" applyBorder="1" applyAlignment="1">
      <alignment vertical="top" wrapText="1" readingOrder="1"/>
    </xf>
    <xf numFmtId="164" fontId="18" fillId="0" borderId="0" xfId="0" applyNumberFormat="1" applyFont="1" applyFill="1"/>
    <xf numFmtId="164" fontId="20" fillId="0" borderId="5" xfId="1" applyNumberFormat="1" applyFont="1" applyFill="1" applyBorder="1" applyAlignment="1">
      <alignment horizontal="right" vertical="top" readingOrder="1"/>
    </xf>
    <xf numFmtId="164" fontId="20" fillId="0" borderId="5" xfId="1" applyNumberFormat="1" applyFont="1" applyFill="1" applyBorder="1" applyAlignment="1">
      <alignment horizontal="right" vertical="top" wrapText="1" readingOrder="1"/>
    </xf>
    <xf numFmtId="164" fontId="22" fillId="0" borderId="5" xfId="1" applyNumberFormat="1" applyFont="1" applyFill="1" applyBorder="1" applyAlignment="1">
      <alignment horizontal="right" vertical="top" wrapText="1" readingOrder="1"/>
    </xf>
    <xf numFmtId="2" fontId="20" fillId="0" borderId="8" xfId="0" applyNumberFormat="1" applyFont="1" applyFill="1" applyBorder="1" applyAlignment="1">
      <alignment vertical="top" shrinkToFit="1"/>
    </xf>
    <xf numFmtId="2" fontId="22" fillId="0" borderId="8" xfId="0" applyNumberFormat="1" applyFont="1" applyFill="1" applyBorder="1" applyAlignment="1">
      <alignment vertical="top" shrinkToFit="1"/>
    </xf>
    <xf numFmtId="2" fontId="19" fillId="0" borderId="0" xfId="0" applyNumberFormat="1" applyFont="1" applyFill="1"/>
    <xf numFmtId="164" fontId="22" fillId="0" borderId="5" xfId="1" applyNumberFormat="1" applyFont="1" applyFill="1" applyBorder="1" applyAlignment="1">
      <alignment vertical="top" wrapText="1" readingOrder="1"/>
    </xf>
    <xf numFmtId="164" fontId="28" fillId="0" borderId="6" xfId="0" applyNumberFormat="1" applyFont="1" applyFill="1" applyBorder="1" applyAlignment="1" applyProtection="1">
      <alignment horizontal="right" vertical="top" wrapText="1" readingOrder="1"/>
      <protection locked="0"/>
    </xf>
    <xf numFmtId="2" fontId="22" fillId="0" borderId="7" xfId="0" applyNumberFormat="1" applyFont="1" applyFill="1" applyBorder="1" applyAlignment="1">
      <alignment horizontal="right" vertical="top" shrinkToFit="1"/>
    </xf>
    <xf numFmtId="2" fontId="20" fillId="0" borderId="9" xfId="0" applyNumberFormat="1" applyFont="1" applyFill="1" applyBorder="1" applyAlignment="1">
      <alignment vertical="top" shrinkToFit="1"/>
    </xf>
    <xf numFmtId="0" fontId="24" fillId="0" borderId="8" xfId="0" applyFont="1" applyFill="1" applyBorder="1" applyAlignment="1">
      <alignment vertical="top" wrapText="1"/>
    </xf>
    <xf numFmtId="2" fontId="20" fillId="0" borderId="11" xfId="0" applyNumberFormat="1" applyFont="1" applyFill="1" applyBorder="1" applyAlignment="1">
      <alignment vertical="top" shrinkToFit="1"/>
    </xf>
    <xf numFmtId="2" fontId="20" fillId="0" borderId="12" xfId="0" applyNumberFormat="1" applyFont="1" applyFill="1" applyBorder="1" applyAlignment="1">
      <alignment horizontal="right" vertical="top" shrinkToFit="1"/>
    </xf>
    <xf numFmtId="164" fontId="20" fillId="0" borderId="12" xfId="1" applyNumberFormat="1" applyFont="1" applyFill="1" applyBorder="1" applyAlignment="1">
      <alignment horizontal="right" vertical="top" wrapText="1" readingOrder="1"/>
    </xf>
    <xf numFmtId="0" fontId="11" fillId="3" borderId="1" xfId="0" applyFont="1" applyFill="1" applyBorder="1" applyAlignment="1">
      <alignment horizontal="left" vertical="center"/>
    </xf>
    <xf numFmtId="0" fontId="29" fillId="0" borderId="0" xfId="0" applyFont="1"/>
    <xf numFmtId="0" fontId="30" fillId="6" borderId="3" xfId="0" applyFont="1" applyFill="1" applyBorder="1" applyAlignment="1">
      <alignment horizontal="left" vertical="center"/>
    </xf>
    <xf numFmtId="0" fontId="31" fillId="6" borderId="3" xfId="0" applyFont="1" applyFill="1" applyBorder="1" applyAlignment="1">
      <alignment horizontal="center" vertical="center"/>
    </xf>
    <xf numFmtId="4" fontId="32" fillId="6" borderId="3" xfId="0" applyNumberFormat="1" applyFont="1" applyFill="1" applyBorder="1" applyAlignment="1">
      <alignment horizontal="center" vertical="center"/>
    </xf>
    <xf numFmtId="0" fontId="34" fillId="26" borderId="0" xfId="0" applyFont="1" applyFill="1" applyAlignment="1">
      <alignment horizontal="center" vertical="center"/>
    </xf>
    <xf numFmtId="0" fontId="35" fillId="27" borderId="0" xfId="0" applyFont="1" applyFill="1" applyAlignment="1">
      <alignment horizontal="left" vertical="center"/>
    </xf>
    <xf numFmtId="166" fontId="36" fillId="27" borderId="0" xfId="0" applyNumberFormat="1" applyFont="1" applyFill="1" applyAlignment="1">
      <alignment horizontal="center" vertical="center"/>
    </xf>
    <xf numFmtId="0" fontId="37" fillId="0" borderId="0" xfId="0" applyFont="1" applyAlignment="1">
      <alignment horizontal="left" vertical="center"/>
    </xf>
    <xf numFmtId="166" fontId="38" fillId="0" borderId="0" xfId="0" applyNumberFormat="1" applyFont="1" applyAlignment="1">
      <alignment horizontal="center" vertical="center"/>
    </xf>
    <xf numFmtId="0" fontId="40" fillId="0" borderId="0" xfId="0" applyFont="1" applyFill="1"/>
    <xf numFmtId="0" fontId="0" fillId="0" borderId="0" xfId="0" pivotButton="1"/>
    <xf numFmtId="0" fontId="0" fillId="0" borderId="0" xfId="0" applyAlignment="1">
      <alignment horizontal="left"/>
    </xf>
    <xf numFmtId="0" fontId="0" fillId="0" borderId="0" xfId="0" applyNumberFormat="1"/>
    <xf numFmtId="0" fontId="39" fillId="28" borderId="16" xfId="0" applyFont="1" applyFill="1" applyBorder="1"/>
    <xf numFmtId="0" fontId="41" fillId="0" borderId="0" xfId="0" applyFont="1" applyFill="1" applyAlignment="1">
      <alignment horizontal="center"/>
    </xf>
    <xf numFmtId="0" fontId="0" fillId="0" borderId="0" xfId="0" applyAlignment="1">
      <alignment horizontal="left" indent="1"/>
    </xf>
    <xf numFmtId="0" fontId="39"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0" fillId="29" borderId="0" xfId="0" applyFill="1"/>
    <xf numFmtId="0" fontId="0" fillId="13" borderId="0" xfId="0" applyFill="1"/>
    <xf numFmtId="0" fontId="43" fillId="29" borderId="0" xfId="0" applyFont="1" applyFill="1"/>
    <xf numFmtId="0" fontId="0" fillId="30" borderId="0" xfId="0" applyFill="1"/>
    <xf numFmtId="0" fontId="47" fillId="32" borderId="0" xfId="0" applyFont="1" applyFill="1"/>
    <xf numFmtId="0" fontId="0" fillId="0" borderId="0" xfId="0" applyFont="1"/>
    <xf numFmtId="10" fontId="46" fillId="32" borderId="0" xfId="0" applyNumberFormat="1" applyFont="1" applyFill="1" applyAlignment="1">
      <alignment horizontal="center" vertical="center"/>
    </xf>
    <xf numFmtId="0" fontId="44" fillId="31" borderId="0" xfId="2" applyFont="1" applyFill="1" applyAlignment="1">
      <alignment horizontal="center" vertical="center"/>
    </xf>
    <xf numFmtId="0" fontId="44" fillId="31" borderId="0" xfId="2" applyFont="1" applyFill="1" applyAlignment="1">
      <alignment horizontal="center"/>
    </xf>
    <xf numFmtId="167" fontId="46" fillId="32" borderId="0" xfId="0" applyNumberFormat="1" applyFont="1" applyFill="1" applyAlignment="1">
      <alignment horizontal="center" vertical="center"/>
    </xf>
    <xf numFmtId="167" fontId="45" fillId="32" borderId="0" xfId="0" applyNumberFormat="1" applyFont="1" applyFill="1" applyAlignment="1">
      <alignment horizontal="center" vertical="center"/>
    </xf>
    <xf numFmtId="0" fontId="1" fillId="13" borderId="0" xfId="0" applyFont="1" applyFill="1" applyAlignment="1">
      <alignment horizontal="center"/>
    </xf>
    <xf numFmtId="0" fontId="33" fillId="0" borderId="0" xfId="0" applyFont="1" applyAlignment="1">
      <alignment horizontal="center" vertical="center"/>
    </xf>
    <xf numFmtId="0" fontId="18" fillId="25" borderId="0" xfId="0" applyFont="1" applyFill="1" applyAlignment="1">
      <alignment horizontal="center"/>
    </xf>
    <xf numFmtId="0" fontId="0" fillId="24" borderId="0" xfId="0" applyFill="1" applyAlignment="1">
      <alignment horizontal="center"/>
    </xf>
    <xf numFmtId="0" fontId="18" fillId="24" borderId="0" xfId="0" applyFont="1" applyFill="1" applyAlignment="1">
      <alignment horizontal="center"/>
    </xf>
  </cellXfs>
  <cellStyles count="3">
    <cellStyle name="Hyperlink" xfId="2" builtinId="8"/>
    <cellStyle name="Normal" xfId="0" builtinId="0"/>
    <cellStyle name="Normal 2" xfId="1" xr:uid="{2445CD93-AFE5-423D-96C5-F9CA849A9B8E}"/>
  </cellStyles>
  <dxfs count="97">
    <dxf>
      <font>
        <b/>
        <i val="0"/>
        <strike val="0"/>
        <condense val="0"/>
        <extend val="0"/>
        <outline val="0"/>
        <shadow val="0"/>
        <u val="none"/>
        <vertAlign val="baseline"/>
        <sz val="12"/>
        <color rgb="FF000000"/>
        <name val="Times New Roman"/>
        <family val="1"/>
        <scheme val="none"/>
      </font>
      <numFmt numFmtId="164" formatCode="[$-10409]0.00;\-0.00;&quot;...&quot;"/>
      <fill>
        <patternFill patternType="none">
          <fgColor rgb="FFFFFFFF"/>
          <bgColor auto="1"/>
        </patternFill>
      </fill>
      <alignment horizontal="right" vertical="top" textRotation="0" wrapText="1" indent="0" justifyLastLine="0" shrinkToFit="0" readingOrder="1"/>
      <border diagonalUp="0" diagonalDown="0" outline="0">
        <left style="thin">
          <color rgb="FF000000"/>
        </left>
        <right style="thin">
          <color rgb="FF000000"/>
        </right>
        <top/>
        <bottom/>
      </border>
    </dxf>
    <dxf>
      <font>
        <b/>
        <i val="0"/>
        <strike val="0"/>
        <condense val="0"/>
        <extend val="0"/>
        <outline val="0"/>
        <shadow val="0"/>
        <u val="none"/>
        <vertAlign val="baseline"/>
        <sz val="12"/>
        <color rgb="FF000000"/>
        <name val="Times New Roman"/>
        <family val="1"/>
        <scheme val="none"/>
      </font>
      <numFmt numFmtId="164" formatCode="[$-10409]0.00;\-0.00;&quot;...&quot;"/>
      <fill>
        <patternFill patternType="none">
          <fgColor rgb="FFFFFFFF"/>
          <bgColor auto="1"/>
        </patternFill>
      </fill>
      <alignment horizontal="right" vertical="top" textRotation="0" wrapText="1" indent="0" justifyLastLine="0" shrinkToFit="0" readingOrder="1"/>
      <border diagonalUp="0" diagonalDown="0" outline="0">
        <left style="thin">
          <color rgb="FF000000"/>
        </left>
        <right style="thin">
          <color rgb="FF000000"/>
        </right>
        <top/>
        <bottom/>
      </border>
    </dxf>
    <dxf>
      <font>
        <b/>
        <i val="0"/>
        <strike val="0"/>
        <condense val="0"/>
        <extend val="0"/>
        <outline val="0"/>
        <shadow val="0"/>
        <u val="none"/>
        <vertAlign val="baseline"/>
        <sz val="12"/>
        <color rgb="FF000000"/>
        <name val="Times New Roman"/>
        <family val="1"/>
        <scheme val="none"/>
      </font>
      <numFmt numFmtId="164" formatCode="[$-10409]0.00;\-0.00;&quot;...&quot;"/>
      <fill>
        <patternFill patternType="none">
          <fgColor rgb="FFFFFFFF"/>
          <bgColor auto="1"/>
        </patternFill>
      </fill>
      <alignment horizontal="right" vertical="top" textRotation="0" wrapText="1" indent="0" justifyLastLine="0" shrinkToFit="0" readingOrder="1"/>
      <border diagonalUp="0" diagonalDown="0" outline="0">
        <left style="thin">
          <color rgb="FF000000"/>
        </left>
        <right style="thin">
          <color rgb="FF000000"/>
        </right>
        <top/>
        <bottom/>
      </border>
    </dxf>
    <dxf>
      <font>
        <b/>
        <i val="0"/>
        <strike val="0"/>
        <condense val="0"/>
        <extend val="0"/>
        <outline val="0"/>
        <shadow val="0"/>
        <u val="none"/>
        <vertAlign val="baseline"/>
        <sz val="12"/>
        <color indexed="8"/>
        <name val="Times New Roman"/>
        <family val="1"/>
        <scheme val="none"/>
      </font>
      <numFmt numFmtId="164" formatCode="[$-10409]0.00;\-0.00;&quot;...&quot;"/>
      <fill>
        <patternFill patternType="none">
          <fgColor indexed="0"/>
          <bgColor auto="1"/>
        </patternFill>
      </fill>
      <alignment horizontal="right" vertical="top"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indexed="8"/>
        <name val="Times New Roman"/>
        <family val="1"/>
        <scheme val="none"/>
      </font>
      <numFmt numFmtId="164" formatCode="[$-10409]0.00;\-0.00;&quot;...&quot;"/>
      <fill>
        <patternFill patternType="none">
          <fgColor indexed="0"/>
          <bgColor auto="1"/>
        </patternFill>
      </fill>
      <alignment horizontal="right" vertical="top"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rgb="FF000000"/>
        <name val="Times New Roman"/>
        <family val="1"/>
        <scheme val="none"/>
      </font>
      <numFmt numFmtId="2" formatCode="0.00"/>
      <fill>
        <patternFill patternType="none">
          <bgColor auto="1"/>
        </patternFill>
      </fill>
      <alignment horizontal="right" vertical="top" textRotation="0" wrapText="0" indent="0" justifyLastLine="0" shrinkToFit="1" readingOrder="0"/>
      <border diagonalUp="0" diagonalDown="0" outline="0">
        <left style="thin">
          <color rgb="FF000000"/>
        </left>
        <right style="thin">
          <color rgb="FF000000"/>
        </right>
        <top/>
        <bottom/>
      </border>
    </dxf>
    <dxf>
      <font>
        <b/>
        <i val="0"/>
        <strike val="0"/>
        <condense val="0"/>
        <extend val="0"/>
        <outline val="0"/>
        <shadow val="0"/>
        <u val="none"/>
        <vertAlign val="baseline"/>
        <sz val="12"/>
        <color rgb="FF000000"/>
        <name val="Times New Roman"/>
        <family val="1"/>
        <scheme val="none"/>
      </font>
      <numFmt numFmtId="164" formatCode="[$-10409]0.00;\-0.00;&quot;...&quot;"/>
      <fill>
        <patternFill patternType="none">
          <fgColor rgb="FFFFFFFF"/>
          <bgColor auto="1"/>
        </patternFill>
      </fill>
      <alignment horizontal="right" vertical="top" textRotation="0" wrapText="1" indent="0" justifyLastLine="0" shrinkToFit="0" readingOrder="1"/>
      <border diagonalUp="0" diagonalDown="0" outline="0">
        <left style="thin">
          <color rgb="FF000000"/>
        </left>
        <right style="thin">
          <color rgb="FF000000"/>
        </right>
        <top/>
        <bottom/>
      </border>
    </dxf>
    <dxf>
      <font>
        <b/>
        <i val="0"/>
        <strike val="0"/>
        <condense val="0"/>
        <extend val="0"/>
        <outline val="0"/>
        <shadow val="0"/>
        <u val="none"/>
        <vertAlign val="baseline"/>
        <sz val="12"/>
        <color indexed="8"/>
        <name val="Times New Roman"/>
        <family val="1"/>
        <scheme val="none"/>
      </font>
      <numFmt numFmtId="164" formatCode="[$-10409]0.00;\-0.00;&quot;...&quot;"/>
      <fill>
        <patternFill patternType="none">
          <fgColor indexed="0"/>
          <bgColor auto="1"/>
        </patternFill>
      </fill>
      <alignment horizontal="right" vertical="top"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indexed="8"/>
        <name val="Times New Roman"/>
        <family val="1"/>
        <scheme val="none"/>
      </font>
      <numFmt numFmtId="164" formatCode="[$-10409]0.00;\-0.00;&quot;...&quot;"/>
      <fill>
        <patternFill patternType="none">
          <fgColor indexed="0"/>
          <bgColor auto="1"/>
        </patternFill>
      </fill>
      <alignment horizontal="right" vertical="top"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rgb="FF000000"/>
        <name val="Times New Roman"/>
        <family val="1"/>
        <scheme val="none"/>
      </font>
      <numFmt numFmtId="164" formatCode="[$-10409]0.00;\-0.00;&quot;...&quot;"/>
      <fill>
        <patternFill patternType="none">
          <fgColor rgb="FFFFFFFF"/>
          <bgColor auto="1"/>
        </patternFill>
      </fill>
      <alignment horizontal="right" vertical="top" textRotation="0" wrapText="1" indent="0" justifyLastLine="0" shrinkToFit="0" readingOrder="1"/>
      <border diagonalUp="0" diagonalDown="0" outline="0">
        <left style="thin">
          <color rgb="FF000000"/>
        </left>
        <right style="thin">
          <color rgb="FF000000"/>
        </right>
        <top/>
        <bottom/>
      </border>
    </dxf>
    <dxf>
      <font>
        <b/>
        <i val="0"/>
        <strike val="0"/>
        <condense val="0"/>
        <extend val="0"/>
        <outline val="0"/>
        <shadow val="0"/>
        <u val="none"/>
        <vertAlign val="baseline"/>
        <sz val="12"/>
        <color theme="1"/>
        <name val="Times New Roman"/>
        <family val="1"/>
        <scheme val="none"/>
      </font>
      <numFmt numFmtId="2" formatCode="0.00"/>
      <fill>
        <patternFill patternType="none">
          <bgColor auto="1"/>
        </patternFill>
      </fill>
      <alignment horizontal="right" vertical="top" textRotation="0" wrapText="1" indent="0" justifyLastLine="0" shrinkToFit="0" readingOrder="0"/>
      <border diagonalUp="0" diagonalDown="0" outline="0">
        <left/>
        <right style="medium">
          <color rgb="FF666666"/>
        </right>
        <top/>
        <bottom/>
      </border>
    </dxf>
    <dxf>
      <font>
        <b/>
        <i val="0"/>
        <strike val="0"/>
        <condense val="0"/>
        <extend val="0"/>
        <outline val="0"/>
        <shadow val="0"/>
        <u val="none"/>
        <vertAlign val="baseline"/>
        <sz val="12"/>
        <color theme="1"/>
        <name val="Times New Roman"/>
        <family val="1"/>
        <scheme val="none"/>
      </font>
      <numFmt numFmtId="2" formatCode="0.00"/>
      <fill>
        <patternFill patternType="none">
          <bgColor auto="1"/>
        </patternFill>
      </fill>
      <alignment horizontal="right" vertical="top" textRotation="0" wrapText="0" indent="0" justifyLastLine="0" shrinkToFit="0" readingOrder="0"/>
      <border diagonalUp="0" diagonalDown="0" outline="0">
        <left/>
        <right style="medium">
          <color rgb="FF666666"/>
        </right>
        <top/>
        <bottom/>
      </border>
    </dxf>
    <dxf>
      <font>
        <b/>
        <i val="0"/>
        <strike val="0"/>
        <condense val="0"/>
        <extend val="0"/>
        <outline val="0"/>
        <shadow val="0"/>
        <u val="none"/>
        <vertAlign val="baseline"/>
        <sz val="12"/>
        <color rgb="FF000000"/>
        <name val="Times New Roman"/>
        <family val="1"/>
        <scheme val="none"/>
      </font>
      <numFmt numFmtId="2" formatCode="0.00"/>
      <fill>
        <patternFill patternType="none">
          <bgColor auto="1"/>
        </patternFill>
      </fill>
      <alignment horizontal="right" vertical="top" textRotation="0" wrapText="0" indent="0" justifyLastLine="0" shrinkToFit="1" readingOrder="0"/>
      <border diagonalUp="0" diagonalDown="0" outline="0">
        <left style="thin">
          <color rgb="FF656565"/>
        </left>
        <right style="thin">
          <color rgb="FF656565"/>
        </right>
        <top/>
        <bottom/>
      </border>
    </dxf>
    <dxf>
      <font>
        <b/>
        <i val="0"/>
        <strike val="0"/>
        <condense val="0"/>
        <extend val="0"/>
        <outline val="0"/>
        <shadow val="0"/>
        <u val="none"/>
        <vertAlign val="baseline"/>
        <sz val="12"/>
        <color theme="1"/>
        <name val="Times New Roman"/>
        <family val="1"/>
        <scheme val="none"/>
      </font>
      <fill>
        <patternFill patternType="none">
          <bgColor auto="1"/>
        </patternFill>
      </fill>
    </dxf>
    <dxf>
      <font>
        <b/>
        <i val="0"/>
        <strike val="0"/>
        <condense val="0"/>
        <extend val="0"/>
        <outline val="0"/>
        <shadow val="0"/>
        <u val="none"/>
        <vertAlign val="baseline"/>
        <sz val="12"/>
        <color rgb="FF000000"/>
        <name val="Times New Roman"/>
        <family val="1"/>
        <scheme val="none"/>
      </font>
      <fill>
        <patternFill patternType="none">
          <fgColor rgb="FFFFFFFF"/>
          <bgColor auto="1"/>
        </patternFill>
      </fill>
      <alignment horizontal="right" vertical="top" textRotation="0" wrapText="1" indent="0" justifyLastLine="0" shrinkToFit="0" readingOrder="1"/>
    </dxf>
    <dxf>
      <font>
        <b/>
        <i val="0"/>
        <strike val="0"/>
        <condense val="0"/>
        <extend val="0"/>
        <outline val="0"/>
        <shadow val="0"/>
        <u val="none"/>
        <vertAlign val="baseline"/>
        <sz val="12"/>
        <color theme="1"/>
        <name val="Times New Roman"/>
        <family val="1"/>
        <scheme val="none"/>
      </font>
      <fill>
        <patternFill patternType="none">
          <bgColor auto="1"/>
        </patternFill>
      </fill>
      <alignment horizontal="general" vertical="center" textRotation="0" wrapText="1" indent="0" justifyLastLine="0" shrinkToFit="0" readingOrder="0"/>
    </dxf>
    <dxf>
      <font>
        <b/>
        <i val="0"/>
        <strike val="0"/>
        <condense val="0"/>
        <extend val="0"/>
        <outline val="0"/>
        <shadow val="0"/>
        <u val="none"/>
        <vertAlign val="baseline"/>
        <sz val="12"/>
        <color auto="1"/>
        <name val="Times New Roman"/>
        <family val="1"/>
        <scheme val="none"/>
      </font>
      <numFmt numFmtId="165" formatCode="[$-10409]0.00;\(0.00\);&quot;...&quot;"/>
      <fill>
        <patternFill patternType="none">
          <fgColor rgb="FFFFFFFF"/>
          <bgColor auto="1"/>
        </patternFill>
      </fill>
      <alignment horizontal="right" vertical="top" textRotation="0" wrapText="1" indent="0" justifyLastLine="0" shrinkToFit="0" readingOrder="1"/>
      <border diagonalUp="0" diagonalDown="0" outline="0">
        <left style="thin">
          <color rgb="FF000000"/>
        </left>
        <right style="thin">
          <color rgb="FF000000"/>
        </right>
        <top/>
        <bottom/>
      </border>
    </dxf>
    <dxf>
      <font>
        <b/>
        <i val="0"/>
        <strike val="0"/>
        <condense val="0"/>
        <extend val="0"/>
        <outline val="0"/>
        <shadow val="0"/>
        <u val="none"/>
        <vertAlign val="baseline"/>
        <sz val="12"/>
        <color auto="1"/>
        <name val="Times New Roman"/>
        <family val="1"/>
        <scheme val="none"/>
      </font>
      <numFmt numFmtId="165" formatCode="[$-10409]0.00;\(0.00\);&quot;...&quot;"/>
      <fill>
        <patternFill patternType="none">
          <fgColor rgb="FFFFFFFF"/>
          <bgColor auto="1"/>
        </patternFill>
      </fill>
      <alignment horizontal="right" vertical="top" textRotation="0" wrapText="1" indent="0" justifyLastLine="0" shrinkToFit="0" readingOrder="1"/>
      <border diagonalUp="0" diagonalDown="0" outline="0">
        <left style="thin">
          <color rgb="FF000000"/>
        </left>
        <right/>
        <top/>
        <bottom/>
      </border>
    </dxf>
    <dxf>
      <font>
        <b/>
        <i val="0"/>
        <strike val="0"/>
        <condense val="0"/>
        <extend val="0"/>
        <outline val="0"/>
        <shadow val="0"/>
        <u val="none"/>
        <vertAlign val="baseline"/>
        <sz val="12"/>
        <color auto="1"/>
        <name val="Times New Roman"/>
        <family val="1"/>
        <scheme val="none"/>
      </font>
      <numFmt numFmtId="165" formatCode="[$-10409]0.00;\(0.00\);&quot;...&quot;"/>
      <fill>
        <patternFill patternType="none">
          <fgColor rgb="FFFFFFFF"/>
          <bgColor auto="1"/>
        </patternFill>
      </fill>
      <alignment horizontal="right" vertical="top" textRotation="0" wrapText="1" indent="0" justifyLastLine="0" shrinkToFit="0" readingOrder="1"/>
      <border diagonalUp="0" diagonalDown="0" outline="0">
        <left style="thin">
          <color rgb="FF000000"/>
        </left>
        <right/>
        <top/>
        <bottom/>
      </border>
    </dxf>
    <dxf>
      <font>
        <b/>
        <i val="0"/>
        <strike val="0"/>
        <condense val="0"/>
        <extend val="0"/>
        <outline val="0"/>
        <shadow val="0"/>
        <u val="none"/>
        <vertAlign val="baseline"/>
        <sz val="12"/>
        <color auto="1"/>
        <name val="Times New Roman"/>
        <family val="1"/>
        <scheme val="none"/>
      </font>
      <numFmt numFmtId="165" formatCode="[$-10409]0.00;\(0.00\);&quot;...&quot;"/>
      <fill>
        <patternFill patternType="none">
          <fgColor indexed="0"/>
          <bgColor auto="1"/>
        </patternFill>
      </fill>
      <alignment horizontal="right" vertical="top" textRotation="0" wrapText="1" indent="0" justifyLastLine="0" shrinkToFit="0" readingOrder="1"/>
      <border diagonalUp="0" diagonalDown="0" outline="0">
        <left style="thin">
          <color indexed="8"/>
        </left>
        <right/>
        <top/>
        <bottom/>
      </border>
      <protection locked="0" hidden="0"/>
    </dxf>
    <dxf>
      <font>
        <b/>
        <i val="0"/>
        <strike val="0"/>
        <condense val="0"/>
        <extend val="0"/>
        <outline val="0"/>
        <shadow val="0"/>
        <u val="none"/>
        <vertAlign val="baseline"/>
        <sz val="12"/>
        <color auto="1"/>
        <name val="Times New Roman"/>
        <family val="1"/>
        <scheme val="none"/>
      </font>
      <numFmt numFmtId="165" formatCode="[$-10409]0.00;\(0.00\);&quot;...&quot;"/>
      <fill>
        <patternFill patternType="none">
          <fgColor indexed="0"/>
          <bgColor auto="1"/>
        </patternFill>
      </fill>
      <alignment horizontal="right" vertical="top" textRotation="0" wrapText="1" indent="0" justifyLastLine="0" shrinkToFit="0" readingOrder="1"/>
      <border diagonalUp="0" diagonalDown="0" outline="0">
        <left style="thin">
          <color indexed="8"/>
        </left>
        <right/>
        <top/>
        <bottom/>
      </border>
      <protection locked="0" hidden="0"/>
    </dxf>
    <dxf>
      <font>
        <b/>
        <i val="0"/>
        <strike val="0"/>
        <condense val="0"/>
        <extend val="0"/>
        <outline val="0"/>
        <shadow val="0"/>
        <u val="none"/>
        <vertAlign val="baseline"/>
        <sz val="12"/>
        <color auto="1"/>
        <name val="Times New Roman"/>
        <family val="1"/>
        <scheme val="none"/>
      </font>
      <numFmt numFmtId="2" formatCode="0.00"/>
      <fill>
        <patternFill patternType="none">
          <bgColor auto="1"/>
        </patternFill>
      </fill>
      <alignment horizontal="right" vertical="top" textRotation="0" wrapText="0" indent="0" justifyLastLine="0" shrinkToFit="1" readingOrder="0"/>
      <border diagonalUp="0" diagonalDown="0" outline="0">
        <left style="thin">
          <color rgb="FF000000"/>
        </left>
        <right style="thin">
          <color rgb="FF000000"/>
        </right>
        <top/>
        <bottom/>
      </border>
    </dxf>
    <dxf>
      <font>
        <b/>
        <i val="0"/>
        <strike val="0"/>
        <condense val="0"/>
        <extend val="0"/>
        <outline val="0"/>
        <shadow val="0"/>
        <u val="none"/>
        <vertAlign val="baseline"/>
        <sz val="12"/>
        <color auto="1"/>
        <name val="Times New Roman"/>
        <family val="1"/>
        <scheme val="none"/>
      </font>
      <numFmt numFmtId="2" formatCode="0.00"/>
      <fill>
        <patternFill patternType="none">
          <bgColor auto="1"/>
        </patternFill>
      </fill>
      <alignment horizontal="right" vertical="top" textRotation="0" wrapText="0" indent="0" justifyLastLine="0" shrinkToFit="1" readingOrder="0"/>
      <border diagonalUp="0" diagonalDown="0" outline="0">
        <left style="thin">
          <color rgb="FF000000"/>
        </left>
        <right style="thin">
          <color rgb="FF000000"/>
        </right>
        <top/>
        <bottom/>
      </border>
    </dxf>
    <dxf>
      <font>
        <b/>
        <i val="0"/>
        <strike val="0"/>
        <condense val="0"/>
        <extend val="0"/>
        <outline val="0"/>
        <shadow val="0"/>
        <u val="none"/>
        <vertAlign val="baseline"/>
        <sz val="12"/>
        <color auto="1"/>
        <name val="Times New Roman"/>
        <family val="1"/>
        <scheme val="none"/>
      </font>
      <numFmt numFmtId="165" formatCode="[$-10409]0.00;\(0.00\);&quot;...&quot;"/>
      <fill>
        <patternFill patternType="none">
          <fgColor indexed="0"/>
          <bgColor auto="1"/>
        </patternFill>
      </fill>
      <alignment horizontal="right" vertical="top" textRotation="0" wrapText="1" indent="0" justifyLastLine="0" shrinkToFit="0" readingOrder="1"/>
      <border diagonalUp="0" diagonalDown="0" outline="0">
        <left style="thin">
          <color indexed="8"/>
        </left>
        <right/>
        <top/>
        <bottom/>
      </border>
      <protection locked="0" hidden="0"/>
    </dxf>
    <dxf>
      <font>
        <b/>
        <i val="0"/>
        <strike val="0"/>
        <condense val="0"/>
        <extend val="0"/>
        <outline val="0"/>
        <shadow val="0"/>
        <u val="none"/>
        <vertAlign val="baseline"/>
        <sz val="12"/>
        <color auto="1"/>
        <name val="Times New Roman"/>
        <family val="1"/>
        <scheme val="none"/>
      </font>
      <numFmt numFmtId="165" formatCode="[$-10409]0.00;\(0.00\);&quot;...&quot;"/>
      <fill>
        <patternFill patternType="none">
          <fgColor indexed="0"/>
          <bgColor auto="1"/>
        </patternFill>
      </fill>
      <alignment horizontal="right" vertical="top" textRotation="0" wrapText="1" indent="0" justifyLastLine="0" shrinkToFit="0" readingOrder="1"/>
      <border diagonalUp="0" diagonalDown="0" outline="0">
        <left style="thin">
          <color indexed="8"/>
        </left>
        <right/>
        <top/>
        <bottom/>
      </border>
      <protection locked="0" hidden="0"/>
    </dxf>
    <dxf>
      <font>
        <b/>
        <i val="0"/>
        <strike val="0"/>
        <condense val="0"/>
        <extend val="0"/>
        <outline val="0"/>
        <shadow val="0"/>
        <u val="none"/>
        <vertAlign val="baseline"/>
        <sz val="12"/>
        <color auto="1"/>
        <name val="Times New Roman"/>
        <family val="1"/>
        <scheme val="none"/>
      </font>
      <numFmt numFmtId="165" formatCode="[$-10409]0.00;\(0.00\);&quot;...&quot;"/>
      <fill>
        <patternFill patternType="none">
          <fgColor rgb="FFFFFFFF"/>
          <bgColor auto="1"/>
        </patternFill>
      </fill>
      <alignment horizontal="right" vertical="top" textRotation="0" wrapText="1" indent="0" justifyLastLine="0" shrinkToFit="0" readingOrder="1"/>
      <border diagonalUp="0" diagonalDown="0" outline="0">
        <left style="thin">
          <color rgb="FF000000"/>
        </left>
        <right/>
        <top/>
        <bottom/>
      </border>
    </dxf>
    <dxf>
      <font>
        <b/>
        <i val="0"/>
        <strike val="0"/>
        <condense val="0"/>
        <extend val="0"/>
        <outline val="0"/>
        <shadow val="0"/>
        <u val="none"/>
        <vertAlign val="baseline"/>
        <sz val="12"/>
        <color auto="1"/>
        <name val="Times New Roman"/>
        <family val="1"/>
        <scheme val="none"/>
      </font>
      <numFmt numFmtId="2" formatCode="0.00"/>
      <fill>
        <patternFill patternType="none">
          <bgColor auto="1"/>
        </patternFill>
      </fill>
      <alignment horizontal="right" vertical="top" textRotation="0" wrapText="1" indent="0" justifyLastLine="0" shrinkToFit="0" readingOrder="0"/>
      <border diagonalUp="0" diagonalDown="0" outline="0">
        <left/>
        <right style="medium">
          <color rgb="FF666666"/>
        </right>
        <top/>
        <bottom/>
      </border>
    </dxf>
    <dxf>
      <font>
        <b/>
        <i val="0"/>
        <strike val="0"/>
        <condense val="0"/>
        <extend val="0"/>
        <outline val="0"/>
        <shadow val="0"/>
        <u val="none"/>
        <vertAlign val="baseline"/>
        <sz val="12"/>
        <color auto="1"/>
        <name val="Times New Roman"/>
        <family val="1"/>
        <scheme val="none"/>
      </font>
      <numFmt numFmtId="2" formatCode="0.00"/>
      <fill>
        <patternFill patternType="none">
          <bgColor auto="1"/>
        </patternFill>
      </fill>
      <alignment horizontal="right" vertical="top" textRotation="0" wrapText="0" indent="0" justifyLastLine="0" shrinkToFit="0" readingOrder="0"/>
      <border diagonalUp="0" diagonalDown="0" outline="0">
        <left/>
        <right style="medium">
          <color rgb="FF666666"/>
        </right>
        <top/>
        <bottom/>
      </border>
    </dxf>
    <dxf>
      <font>
        <b/>
        <i val="0"/>
        <strike val="0"/>
        <condense val="0"/>
        <extend val="0"/>
        <outline val="0"/>
        <shadow val="0"/>
        <u val="none"/>
        <vertAlign val="baseline"/>
        <sz val="12"/>
        <color auto="1"/>
        <name val="Times New Roman"/>
        <family val="1"/>
        <scheme val="none"/>
      </font>
      <numFmt numFmtId="2" formatCode="0.00"/>
      <fill>
        <patternFill patternType="none">
          <bgColor auto="1"/>
        </patternFill>
      </fill>
      <alignment horizontal="general" vertical="top" textRotation="0" wrapText="0" indent="0" justifyLastLine="0" shrinkToFit="1" readingOrder="0"/>
      <border diagonalUp="0" diagonalDown="0" outline="0">
        <left style="thin">
          <color rgb="FF656565"/>
        </left>
        <right style="thin">
          <color rgb="FF656565"/>
        </right>
        <top/>
        <bottom/>
      </border>
    </dxf>
    <dxf>
      <font>
        <b/>
        <i val="0"/>
        <strike val="0"/>
        <condense val="0"/>
        <extend val="0"/>
        <outline val="0"/>
        <shadow val="0"/>
        <u val="none"/>
        <vertAlign val="baseline"/>
        <sz val="12"/>
        <color auto="1"/>
        <name val="Times New Roman"/>
        <family val="1"/>
        <scheme val="none"/>
      </font>
      <fill>
        <patternFill patternType="none">
          <bgColor auto="1"/>
        </patternFill>
      </fill>
    </dxf>
    <dxf>
      <font>
        <strike val="0"/>
        <outline val="0"/>
        <shadow val="0"/>
        <u val="none"/>
        <vertAlign val="baseline"/>
        <sz val="12"/>
        <color auto="1"/>
        <name val="Times New Roman"/>
        <family val="1"/>
        <scheme val="none"/>
      </font>
      <fill>
        <patternFill patternType="none">
          <bgColor auto="1"/>
        </patternFill>
      </fill>
    </dxf>
    <dxf>
      <font>
        <b/>
        <i val="0"/>
        <strike val="0"/>
        <condense val="0"/>
        <extend val="0"/>
        <outline val="0"/>
        <shadow val="0"/>
        <u val="none"/>
        <vertAlign val="baseline"/>
        <sz val="12"/>
        <color auto="1"/>
        <name val="Times New Roman"/>
        <family val="1"/>
        <scheme val="none"/>
      </font>
      <fill>
        <patternFill patternType="none">
          <bgColor auto="1"/>
        </patternFill>
      </fill>
      <alignment horizontal="general" vertical="center" textRotation="0" wrapText="1"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rgb="FF000000"/>
        <name val="Times New Roman"/>
        <family val="1"/>
        <scheme val="none"/>
      </font>
      <numFmt numFmtId="164" formatCode="[$-10409]0.00;\-0.00;&quot;...&quot;"/>
      <fill>
        <patternFill patternType="none">
          <fgColor indexed="64"/>
          <bgColor indexed="65"/>
        </patternFill>
      </fill>
      <alignment horizontal="right" vertical="top" textRotation="0" wrapText="1" indent="0" justifyLastLine="0" shrinkToFit="0" readingOrder="1"/>
      <border diagonalUp="0" diagonalDown="0">
        <left style="thin">
          <color rgb="FF000000"/>
        </left>
        <right style="thin">
          <color rgb="FF000000"/>
        </right>
        <top/>
        <bottom/>
        <vertical/>
        <horizontal/>
      </border>
    </dxf>
    <dxf>
      <font>
        <b/>
        <i val="0"/>
        <strike val="0"/>
        <condense val="0"/>
        <extend val="0"/>
        <outline val="0"/>
        <shadow val="0"/>
        <u val="none"/>
        <vertAlign val="baseline"/>
        <sz val="12"/>
        <color rgb="FF000000"/>
        <name val="Times New Roman"/>
        <family val="1"/>
        <scheme val="none"/>
      </font>
      <numFmt numFmtId="164" formatCode="[$-10409]0.00;\-0.00;&quot;...&quot;"/>
      <fill>
        <patternFill patternType="none">
          <fgColor indexed="64"/>
          <bgColor indexed="65"/>
        </patternFill>
      </fill>
      <alignment horizontal="right" vertical="top" textRotation="0" wrapText="1" indent="0" justifyLastLine="0" shrinkToFit="0" readingOrder="1"/>
      <border diagonalUp="0" diagonalDown="0">
        <left style="thin">
          <color rgb="FF000000"/>
        </left>
        <right style="thin">
          <color rgb="FF000000"/>
        </right>
        <top/>
        <bottom/>
        <vertical/>
        <horizontal/>
      </border>
    </dxf>
    <dxf>
      <font>
        <b/>
        <i val="0"/>
        <strike val="0"/>
        <condense val="0"/>
        <extend val="0"/>
        <outline val="0"/>
        <shadow val="0"/>
        <u val="none"/>
        <vertAlign val="baseline"/>
        <sz val="12"/>
        <color rgb="FF000000"/>
        <name val="Times New Roman"/>
        <family val="1"/>
        <scheme val="none"/>
      </font>
      <numFmt numFmtId="164" formatCode="[$-10409]0.00;\-0.00;&quot;...&quot;"/>
      <fill>
        <patternFill patternType="none">
          <fgColor indexed="64"/>
          <bgColor indexed="65"/>
        </patternFill>
      </fill>
      <alignment horizontal="right" vertical="top" textRotation="0" wrapText="1" indent="0" justifyLastLine="0" shrinkToFit="0" readingOrder="1"/>
      <border diagonalUp="0" diagonalDown="0">
        <left style="thin">
          <color rgb="FF000000"/>
        </left>
        <right style="thin">
          <color rgb="FF000000"/>
        </right>
        <top/>
        <bottom/>
        <vertical/>
        <horizontal/>
      </border>
    </dxf>
    <dxf>
      <font>
        <b/>
        <i val="0"/>
        <strike val="0"/>
        <condense val="0"/>
        <extend val="0"/>
        <outline val="0"/>
        <shadow val="0"/>
        <u val="none"/>
        <vertAlign val="baseline"/>
        <sz val="12"/>
        <color indexed="8"/>
        <name val="Times New Roman"/>
        <family val="1"/>
        <scheme val="none"/>
      </font>
      <numFmt numFmtId="164" formatCode="[$-10409]0.00;\-0.00;&quot;...&quot;"/>
      <fill>
        <patternFill patternType="none">
          <fgColor indexed="64"/>
          <bgColor indexed="65"/>
        </patternFill>
      </fill>
      <alignment horizontal="right" vertical="top" textRotation="0" wrapText="1" indent="0" justifyLastLine="0" shrinkToFit="0" readingOrder="1"/>
      <border diagonalUp="0" diagonalDown="0">
        <left style="thin">
          <color indexed="8"/>
        </left>
        <right style="thin">
          <color indexed="8"/>
        </right>
        <top/>
        <bottom/>
        <vertical/>
        <horizontal/>
      </border>
      <protection locked="0" hidden="0"/>
    </dxf>
    <dxf>
      <font>
        <b/>
        <i val="0"/>
        <strike val="0"/>
        <condense val="0"/>
        <extend val="0"/>
        <outline val="0"/>
        <shadow val="0"/>
        <u val="none"/>
        <vertAlign val="baseline"/>
        <sz val="12"/>
        <color rgb="FF000000"/>
        <name val="Times New Roman"/>
        <family val="1"/>
        <scheme val="none"/>
      </font>
      <numFmt numFmtId="164" formatCode="[$-10409]0.00;\-0.00;&quot;...&quot;"/>
      <fill>
        <patternFill patternType="none">
          <fgColor indexed="64"/>
          <bgColor indexed="65"/>
        </patternFill>
      </fill>
      <alignment horizontal="right" vertical="top" textRotation="0" wrapText="1" indent="0" justifyLastLine="0" shrinkToFit="0" readingOrder="1"/>
      <border diagonalUp="0" diagonalDown="0">
        <left style="thin">
          <color rgb="FF000000"/>
        </left>
        <right style="thin">
          <color rgb="FF000000"/>
        </right>
        <top/>
        <bottom/>
        <vertical/>
        <horizontal/>
      </border>
    </dxf>
    <dxf>
      <font>
        <b/>
        <i val="0"/>
        <strike val="0"/>
        <condense val="0"/>
        <extend val="0"/>
        <outline val="0"/>
        <shadow val="0"/>
        <u val="none"/>
        <vertAlign val="baseline"/>
        <sz val="12"/>
        <color rgb="FF000000"/>
        <name val="Times New Roman"/>
        <family val="1"/>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left style="thin">
          <color rgb="FF000000"/>
        </left>
        <right style="thin">
          <color rgb="FF000000"/>
        </right>
        <top/>
        <bottom/>
        <vertical/>
        <horizontal/>
      </border>
    </dxf>
    <dxf>
      <font>
        <b/>
        <i val="0"/>
        <strike val="0"/>
        <condense val="0"/>
        <extend val="0"/>
        <outline val="0"/>
        <shadow val="0"/>
        <u val="none"/>
        <vertAlign val="baseline"/>
        <sz val="12"/>
        <color rgb="FF000000"/>
        <name val="Times New Roman"/>
        <family val="1"/>
        <scheme val="none"/>
      </font>
      <numFmt numFmtId="2" formatCode="0.00"/>
      <fill>
        <patternFill patternType="none">
          <fgColor indexed="64"/>
          <bgColor indexed="65"/>
        </patternFill>
      </fill>
      <alignment horizontal="right" vertical="top" textRotation="0" wrapText="0" indent="0" justifyLastLine="0" shrinkToFit="1" readingOrder="0"/>
      <border diagonalUp="0" diagonalDown="0">
        <left style="thin">
          <color rgb="FF000000"/>
        </left>
        <right style="thin">
          <color rgb="FF000000"/>
        </right>
        <top/>
        <bottom/>
        <vertical/>
        <horizontal/>
      </border>
    </dxf>
    <dxf>
      <font>
        <b/>
        <i val="0"/>
        <strike val="0"/>
        <condense val="0"/>
        <extend val="0"/>
        <outline val="0"/>
        <shadow val="0"/>
        <u val="none"/>
        <vertAlign val="baseline"/>
        <sz val="12"/>
        <color indexed="8"/>
        <name val="Times New Roman"/>
        <family val="1"/>
        <scheme val="none"/>
      </font>
      <numFmt numFmtId="164" formatCode="[$-10409]0.00;\-0.00;&quot;...&quot;"/>
      <fill>
        <patternFill patternType="none">
          <fgColor indexed="64"/>
          <bgColor indexed="65"/>
        </patternFill>
      </fill>
      <alignment horizontal="right" vertical="top" textRotation="0" wrapText="1" indent="0" justifyLastLine="0" shrinkToFit="0" readingOrder="1"/>
      <border diagonalUp="0" diagonalDown="0">
        <left style="thin">
          <color indexed="8"/>
        </left>
        <right style="thin">
          <color indexed="8"/>
        </right>
        <top/>
        <bottom/>
        <vertical/>
        <horizontal/>
      </border>
      <protection locked="0" hidden="0"/>
    </dxf>
    <dxf>
      <font>
        <b/>
        <i val="0"/>
        <strike val="0"/>
        <condense val="0"/>
        <extend val="0"/>
        <outline val="0"/>
        <shadow val="0"/>
        <u val="none"/>
        <vertAlign val="baseline"/>
        <sz val="12"/>
        <color indexed="8"/>
        <name val="Times New Roman"/>
        <family val="1"/>
        <scheme val="none"/>
      </font>
      <numFmt numFmtId="164" formatCode="[$-10409]0.00;\-0.00;&quot;...&quot;"/>
      <fill>
        <patternFill patternType="none">
          <fgColor indexed="64"/>
          <bgColor indexed="65"/>
        </patternFill>
      </fill>
      <alignment horizontal="right" vertical="top" textRotation="0" wrapText="1" indent="0" justifyLastLine="0" shrinkToFit="0" readingOrder="1"/>
      <border diagonalUp="0" diagonalDown="0">
        <left style="thin">
          <color indexed="8"/>
        </left>
        <right style="thin">
          <color indexed="8"/>
        </right>
        <top/>
        <bottom/>
        <vertical/>
        <horizontal/>
      </border>
      <protection locked="0" hidden="0"/>
    </dxf>
    <dxf>
      <font>
        <b/>
        <i val="0"/>
        <strike val="0"/>
        <condense val="0"/>
        <extend val="0"/>
        <outline val="0"/>
        <shadow val="0"/>
        <u val="none"/>
        <vertAlign val="baseline"/>
        <sz val="12"/>
        <color rgb="FF000000"/>
        <name val="Times New Roman"/>
        <family val="1"/>
        <scheme val="none"/>
      </font>
      <numFmt numFmtId="164" formatCode="[$-10409]0.00;\-0.00;&quot;...&quot;"/>
      <fill>
        <patternFill patternType="none">
          <fgColor indexed="64"/>
          <bgColor indexed="65"/>
        </patternFill>
      </fill>
      <alignment horizontal="right" vertical="top" textRotation="0" wrapText="1" indent="0" justifyLastLine="0" shrinkToFit="0" readingOrder="1"/>
      <border diagonalUp="0" diagonalDown="0">
        <left style="thin">
          <color rgb="FF000000"/>
        </left>
        <right style="thin">
          <color rgb="FF000000"/>
        </right>
        <top/>
        <bottom/>
        <vertical/>
        <horizontal/>
      </border>
    </dxf>
    <dxf>
      <font>
        <b/>
        <i val="0"/>
        <strike val="0"/>
        <condense val="0"/>
        <extend val="0"/>
        <outline val="0"/>
        <shadow val="0"/>
        <u val="none"/>
        <vertAlign val="baseline"/>
        <sz val="12"/>
        <color theme="1"/>
        <name val="Times New Roman"/>
        <family val="1"/>
        <scheme val="none"/>
      </font>
      <numFmt numFmtId="2" formatCode="0.00"/>
      <fill>
        <patternFill patternType="none">
          <fgColor indexed="64"/>
          <bgColor indexed="65"/>
        </patternFill>
      </fill>
      <alignment horizontal="right" vertical="top" textRotation="0" wrapText="1" indent="0" justifyLastLine="0" shrinkToFit="0" readingOrder="0"/>
      <border diagonalUp="0" diagonalDown="0">
        <left/>
        <right style="medium">
          <color rgb="FF666666"/>
        </right>
        <top/>
        <bottom/>
        <vertical/>
        <horizontal/>
      </border>
    </dxf>
    <dxf>
      <font>
        <b/>
        <i val="0"/>
        <strike val="0"/>
        <condense val="0"/>
        <extend val="0"/>
        <outline val="0"/>
        <shadow val="0"/>
        <u val="none"/>
        <vertAlign val="baseline"/>
        <sz val="12"/>
        <color theme="1"/>
        <name val="Times New Roman"/>
        <family val="1"/>
        <scheme val="none"/>
      </font>
      <numFmt numFmtId="2" formatCode="0.00"/>
      <fill>
        <patternFill patternType="none">
          <fgColor indexed="64"/>
          <bgColor indexed="65"/>
        </patternFill>
      </fill>
      <alignment horizontal="right" vertical="top" textRotation="0" wrapText="0" indent="0" justifyLastLine="0" shrinkToFit="0" readingOrder="0"/>
      <border diagonalUp="0" diagonalDown="0">
        <left/>
        <right style="medium">
          <color rgb="FF666666"/>
        </right>
        <top/>
        <bottom/>
        <vertical/>
        <horizontal/>
      </border>
    </dxf>
    <dxf>
      <font>
        <b/>
        <i val="0"/>
        <strike val="0"/>
        <condense val="0"/>
        <extend val="0"/>
        <outline val="0"/>
        <shadow val="0"/>
        <u val="none"/>
        <vertAlign val="baseline"/>
        <sz val="12"/>
        <color rgb="FF000000"/>
        <name val="Times New Roman"/>
        <family val="1"/>
        <scheme val="none"/>
      </font>
      <numFmt numFmtId="2" formatCode="0.00"/>
      <fill>
        <patternFill patternType="none">
          <fgColor indexed="64"/>
          <bgColor indexed="65"/>
        </patternFill>
      </fill>
      <alignment horizontal="general" vertical="top" textRotation="0" wrapText="0" indent="0" justifyLastLine="0" shrinkToFit="1" readingOrder="0"/>
      <border diagonalUp="0" diagonalDown="0">
        <left style="thin">
          <color rgb="FF656565"/>
        </left>
        <right style="thin">
          <color rgb="FF656565"/>
        </right>
        <top/>
        <bottom/>
        <vertical/>
        <horizontal/>
      </border>
    </dxf>
    <dxf>
      <font>
        <b/>
        <i val="0"/>
        <strike val="0"/>
        <condense val="0"/>
        <extend val="0"/>
        <outline val="0"/>
        <shadow val="0"/>
        <u val="none"/>
        <vertAlign val="baseline"/>
        <sz val="12"/>
        <color theme="1"/>
        <name val="Times New Roman"/>
        <family val="1"/>
        <scheme val="none"/>
      </font>
      <fill>
        <patternFill patternType="none">
          <fgColor indexed="64"/>
          <bgColor indexed="65"/>
        </patternFill>
      </fill>
    </dxf>
    <dxf>
      <font>
        <b/>
        <i val="0"/>
        <strike val="0"/>
        <condense val="0"/>
        <extend val="0"/>
        <outline val="0"/>
        <shadow val="0"/>
        <u val="none"/>
        <vertAlign val="baseline"/>
        <sz val="12"/>
        <color rgb="FF000000"/>
        <name val="Times New Roman"/>
        <family val="1"/>
        <scheme val="none"/>
      </font>
      <fill>
        <patternFill patternType="none">
          <fgColor indexed="64"/>
          <bgColor indexed="65"/>
        </patternFill>
      </fill>
      <alignment horizontal="right" vertical="top" textRotation="0" wrapText="1" indent="0" justifyLastLine="0" shrinkToFit="0" readingOrder="1"/>
    </dxf>
    <dxf>
      <font>
        <b/>
        <i val="0"/>
        <strike val="0"/>
        <condense val="0"/>
        <extend val="0"/>
        <outline val="0"/>
        <shadow val="0"/>
        <u val="none"/>
        <vertAlign val="baseline"/>
        <sz val="12"/>
        <color auto="1"/>
        <name val="Times New Roman"/>
        <family val="1"/>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numFmt numFmtId="166" formatCode="#,##0.00;\(#,##0.00\);\-"/>
      <alignment horizontal="center" vertical="center" textRotation="0" wrapText="0" indent="0" justifyLastLine="0" shrinkToFit="0" readingOrder="0"/>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rgb="FF008000"/>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rgb="FF0F4C75"/>
          <bgColor rgb="FF1F4E79"/>
        </patternFill>
      </fill>
      <alignment horizontal="center" vertical="center" textRotation="0" wrapText="0" indent="0" justifyLastLine="0" shrinkToFit="0" readingOrder="0"/>
    </dxf>
    <dxf>
      <font>
        <b val="0"/>
        <i/>
        <strike val="0"/>
        <condense val="0"/>
        <extend val="0"/>
        <outline val="0"/>
        <shadow val="0"/>
        <u val="none"/>
        <vertAlign val="baseline"/>
        <sz val="10"/>
        <color auto="1"/>
        <name val="Calibri"/>
        <family val="2"/>
        <scheme val="none"/>
      </font>
      <fill>
        <patternFill patternType="solid">
          <fgColor rgb="FFFFEDD5"/>
          <bgColor rgb="FFFEF3C7"/>
        </patternFill>
      </fill>
      <alignment horizontal="left" vertical="center" textRotation="0" wrapText="0" indent="0" justifyLastLine="0" shrinkToFit="0" readingOrder="0"/>
      <border diagonalUp="0" diagonalDown="0" outline="0">
        <left style="thin">
          <color rgb="FFCBD5E1"/>
        </left>
        <right style="thin">
          <color rgb="FFCBD5E1"/>
        </right>
        <top style="thin">
          <color rgb="FFCBD5E1"/>
        </top>
        <bottom/>
      </border>
    </dxf>
    <dxf>
      <font>
        <b val="0"/>
        <i/>
        <strike val="0"/>
        <condense val="0"/>
        <extend val="0"/>
        <outline val="0"/>
        <shadow val="0"/>
        <u val="none"/>
        <vertAlign val="baseline"/>
        <sz val="10"/>
        <color auto="1"/>
        <name val="Calibri"/>
        <family val="2"/>
        <scheme val="none"/>
      </font>
      <fill>
        <patternFill patternType="solid">
          <fgColor rgb="FFFFEDD5"/>
          <bgColor rgb="FFFEF3C7"/>
        </patternFill>
      </fill>
      <alignment horizontal="left" vertical="center" textRotation="0" wrapText="0"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val="0"/>
        <i val="0"/>
        <strike val="0"/>
        <condense val="0"/>
        <extend val="0"/>
        <outline val="0"/>
        <shadow val="0"/>
        <u val="none"/>
        <vertAlign val="baseline"/>
        <sz val="10"/>
        <color rgb="FF1E293B"/>
        <name val="Calibri"/>
        <family val="2"/>
        <scheme val="none"/>
      </font>
      <numFmt numFmtId="4" formatCode="#,##0.00"/>
      <fill>
        <patternFill patternType="solid">
          <fgColor rgb="FFFFEDD5"/>
          <bgColor rgb="FFFEF3C7"/>
        </patternFill>
      </fill>
      <alignment horizontal="center" vertical="center" textRotation="0" wrapText="0" indent="0" justifyLastLine="0" shrinkToFit="0" readingOrder="0"/>
      <border diagonalUp="0" diagonalDown="0" outline="0">
        <left style="thin">
          <color rgb="FFCBD5E1"/>
        </left>
        <right style="thin">
          <color rgb="FFCBD5E1"/>
        </right>
        <top style="thin">
          <color rgb="FFCBD5E1"/>
        </top>
        <bottom/>
      </border>
    </dxf>
    <dxf>
      <font>
        <b val="0"/>
        <i val="0"/>
        <strike val="0"/>
        <condense val="0"/>
        <extend val="0"/>
        <outline val="0"/>
        <shadow val="0"/>
        <u val="none"/>
        <vertAlign val="baseline"/>
        <sz val="10"/>
        <color rgb="FF1E293B"/>
        <name val="Calibri"/>
        <charset val="1"/>
        <scheme val="none"/>
      </font>
      <numFmt numFmtId="4" formatCode="#,##0.00"/>
      <fill>
        <patternFill patternType="solid">
          <fgColor rgb="FFFFEDD5"/>
          <bgColor rgb="FFFEF3C7"/>
        </patternFill>
      </fill>
      <alignment horizontal="center" vertical="center" textRotation="0" wrapText="0" indent="0" justifyLastLine="0" shrinkToFit="0" readingOrder="0"/>
      <border diagonalUp="0" diagonalDown="0" outline="0">
        <left style="thin">
          <color rgb="FFCBD5E1"/>
        </left>
        <right style="thin">
          <color rgb="FFCBD5E1"/>
        </right>
        <top style="thin">
          <color rgb="FFCBD5E1"/>
        </top>
        <bottom style="thin">
          <color rgb="FFCBD5E1"/>
        </bottom>
      </border>
    </dxf>
    <dxf>
      <font>
        <b val="0"/>
        <i val="0"/>
        <strike val="0"/>
        <condense val="0"/>
        <extend val="0"/>
        <outline val="0"/>
        <shadow val="0"/>
        <u val="none"/>
        <vertAlign val="baseline"/>
        <sz val="10"/>
        <color rgb="FF334155"/>
        <name val="Calibri"/>
        <family val="2"/>
        <scheme val="none"/>
      </font>
      <fill>
        <patternFill patternType="solid">
          <fgColor rgb="FFFFEDD5"/>
          <bgColor rgb="FFFEF3C7"/>
        </patternFill>
      </fill>
      <alignment horizontal="center" vertical="center" textRotation="0" wrapText="0" indent="0" justifyLastLine="0" shrinkToFit="0" readingOrder="0"/>
      <border diagonalUp="0" diagonalDown="0" outline="0">
        <left style="thin">
          <color rgb="FFCBD5E1"/>
        </left>
        <right style="thin">
          <color rgb="FFCBD5E1"/>
        </right>
        <top style="thin">
          <color rgb="FFCBD5E1"/>
        </top>
        <bottom/>
      </border>
    </dxf>
    <dxf>
      <font>
        <b val="0"/>
        <i val="0"/>
        <strike val="0"/>
        <condense val="0"/>
        <extend val="0"/>
        <outline val="0"/>
        <shadow val="0"/>
        <u val="none"/>
        <vertAlign val="baseline"/>
        <sz val="10"/>
        <color rgb="FF334155"/>
        <name val="Calibri"/>
        <charset val="1"/>
        <scheme val="none"/>
      </font>
      <fill>
        <patternFill patternType="solid">
          <fgColor rgb="FFFFEDD5"/>
          <bgColor rgb="FFFEF3C7"/>
        </patternFill>
      </fill>
      <alignment horizontal="center" vertical="center" textRotation="0" wrapText="0" indent="0" justifyLastLine="0" shrinkToFit="0" readingOrder="0"/>
      <border diagonalUp="0" diagonalDown="0">
        <left style="thin">
          <color rgb="FFCBD5E1"/>
        </left>
        <right style="thin">
          <color rgb="FFCBD5E1"/>
        </right>
        <top style="thin">
          <color rgb="FFCBD5E1"/>
        </top>
        <bottom style="thin">
          <color rgb="FFCBD5E1"/>
        </bottom>
        <vertical/>
        <horizontal/>
      </border>
    </dxf>
    <dxf>
      <font>
        <b/>
        <i val="0"/>
        <strike val="0"/>
        <condense val="0"/>
        <extend val="0"/>
        <outline val="0"/>
        <shadow val="0"/>
        <u val="none"/>
        <vertAlign val="baseline"/>
        <sz val="10"/>
        <color rgb="FFB45309"/>
        <name val="Calibri"/>
        <family val="2"/>
        <scheme val="none"/>
      </font>
      <fill>
        <patternFill patternType="solid">
          <fgColor rgb="FFFFEDD5"/>
          <bgColor rgb="FFFEF3C7"/>
        </patternFill>
      </fill>
      <alignment horizontal="left" vertical="center" textRotation="0" wrapText="0" indent="0" justifyLastLine="0" shrinkToFit="0" readingOrder="0"/>
      <border diagonalUp="0" diagonalDown="0" outline="0">
        <left style="thin">
          <color rgb="FFCBD5E1"/>
        </left>
        <right style="thin">
          <color rgb="FFCBD5E1"/>
        </right>
        <top style="thin">
          <color rgb="FFCBD5E1"/>
        </top>
        <bottom/>
      </border>
    </dxf>
    <dxf>
      <font>
        <b/>
        <i val="0"/>
        <strike val="0"/>
        <condense val="0"/>
        <extend val="0"/>
        <outline val="0"/>
        <shadow val="0"/>
        <u val="none"/>
        <vertAlign val="baseline"/>
        <sz val="10"/>
        <color rgb="FFB45309"/>
        <name val="Calibri"/>
        <charset val="1"/>
        <scheme val="none"/>
      </font>
      <fill>
        <patternFill patternType="solid">
          <fgColor rgb="FFFFEDD5"/>
          <bgColor rgb="FFFEF3C7"/>
        </patternFill>
      </fill>
      <alignment horizontal="left" vertical="center" textRotation="0" wrapText="0" indent="0" justifyLastLine="0" shrinkToFit="0" readingOrder="0"/>
      <border diagonalUp="0" diagonalDown="0">
        <left style="thin">
          <color rgb="FFCBD5E1"/>
        </left>
        <right style="thin">
          <color rgb="FFCBD5E1"/>
        </right>
        <top style="thin">
          <color rgb="FFCBD5E1"/>
        </top>
        <bottom style="thin">
          <color rgb="FFCBD5E1"/>
        </bottom>
        <vertical/>
        <horizontal/>
      </border>
    </dxf>
    <dxf>
      <border outline="0">
        <top style="thin">
          <color rgb="FFCBD5E1"/>
        </top>
      </border>
    </dxf>
    <dxf>
      <border outline="0">
        <top style="thin">
          <color rgb="FF94A3B8"/>
        </top>
        <bottom style="thin">
          <color rgb="FFCBD5E1"/>
        </bottom>
      </border>
    </dxf>
    <dxf>
      <border outline="0">
        <bottom style="thin">
          <color rgb="FF94A3B8"/>
        </bottom>
      </border>
    </dxf>
    <dxf>
      <font>
        <b/>
        <i val="0"/>
        <strike val="0"/>
        <condense val="0"/>
        <extend val="0"/>
        <outline val="0"/>
        <shadow val="0"/>
        <u val="none"/>
        <vertAlign val="baseline"/>
        <sz val="11"/>
        <color rgb="FFFFFFFF"/>
        <name val="Calibri"/>
        <charset val="1"/>
        <scheme val="none"/>
      </font>
      <fill>
        <patternFill patternType="solid">
          <fgColor rgb="FF334155"/>
          <bgColor rgb="FF1E3A5F"/>
        </patternFill>
      </fill>
      <alignment horizontal="center" vertical="center" textRotation="0" wrapText="0" indent="0" justifyLastLine="0" shrinkToFit="0" readingOrder="0"/>
      <border diagonalUp="0" diagonalDown="0" outline="0">
        <left style="thin">
          <color rgb="FF94A3B8"/>
        </left>
        <right style="thin">
          <color rgb="FF94A3B8"/>
        </right>
        <top/>
        <bottom/>
      </border>
    </dxf>
    <dxf>
      <numFmt numFmtId="3" formatCode="#,##0"/>
      <alignment horizontal="general" vertical="center" textRotation="0" wrapText="1" indent="0" justifyLastLine="0" shrinkToFit="0" readingOrder="0"/>
    </dxf>
    <dxf>
      <numFmt numFmtId="3" formatCode="#,##0"/>
      <alignment horizontal="general" vertical="center" textRotation="0" wrapText="1" indent="0" justifyLastLine="0" shrinkToFit="0" readingOrder="0"/>
    </dxf>
    <dxf>
      <numFmt numFmtId="3"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strike val="0"/>
        <outline val="0"/>
        <shadow val="0"/>
        <u val="none"/>
        <vertAlign val="baseline"/>
        <color theme="0"/>
        <name val="Calibri"/>
        <family val="2"/>
      </font>
      <numFmt numFmtId="0" formatCode="General"/>
      <fill>
        <patternFill patternType="solid">
          <fgColor indexed="64"/>
          <bgColor rgb="FF191981"/>
        </patternFill>
      </fill>
    </dxf>
    <dxf>
      <numFmt numFmtId="14" formatCode="0.00%"/>
    </dxf>
    <dxf>
      <numFmt numFmtId="4" formatCode="#,##0.00"/>
      <fill>
        <patternFill patternType="solid">
          <fgColor indexed="64"/>
          <bgColor theme="9" tint="0.79998168889431442"/>
        </patternFill>
      </fill>
      <alignment horizontal="center" vertical="bottom" textRotation="0" wrapText="0" indent="0" justifyLastLine="0" shrinkToFit="0" readingOrder="0"/>
    </dxf>
    <dxf>
      <numFmt numFmtId="4" formatCode="#,##0.00"/>
      <fill>
        <patternFill patternType="solid">
          <fgColor indexed="64"/>
          <bgColor theme="8" tint="0.79998168889431442"/>
        </patternFill>
      </fill>
      <alignment horizontal="center" vertical="bottom" textRotation="0" wrapText="0" indent="0" justifyLastLine="0" shrinkToFit="0" readingOrder="0"/>
    </dxf>
    <dxf>
      <numFmt numFmtId="4" formatCode="#,##0.00"/>
      <fill>
        <patternFill patternType="solid">
          <fgColor indexed="64"/>
          <bgColor theme="9" tint="0.59999389629810485"/>
        </patternFill>
      </fill>
      <alignment horizontal="center" vertical="bottom" textRotation="0" wrapText="0" indent="0" justifyLastLine="0" shrinkToFit="0" readingOrder="0"/>
    </dxf>
    <dxf>
      <numFmt numFmtId="4" formatCode="#,##0.00"/>
      <fill>
        <patternFill patternType="solid">
          <fgColor indexed="64"/>
          <bgColor theme="5" tint="0.79998168889431442"/>
        </patternFill>
      </fill>
      <alignment horizontal="center" vertical="bottom" textRotation="0" wrapText="0" indent="0" justifyLastLine="0" shrinkToFit="0" readingOrder="0"/>
    </dxf>
    <dxf>
      <numFmt numFmtId="4" formatCode="#,##0.00"/>
      <fill>
        <patternFill patternType="solid">
          <fgColor indexed="64"/>
          <bgColor theme="5" tint="0.59999389629810485"/>
        </patternFill>
      </fill>
      <alignment horizontal="center" vertical="bottom" textRotation="0" wrapText="0" indent="0" justifyLastLine="0" shrinkToFit="0" readingOrder="0"/>
    </dxf>
    <dxf>
      <numFmt numFmtId="4" formatCode="#,##0.00"/>
      <fill>
        <patternFill patternType="solid">
          <fgColor indexed="64"/>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rgb="FF191981"/>
        </patternFill>
      </fill>
      <alignment horizontal="center" vertical="bottom" textRotation="0" wrapText="0" indent="0" justifyLastLine="0" shrinkToFit="0" readingOrder="0"/>
    </dxf>
    <dxf>
      <border outline="0">
        <top style="thin">
          <color rgb="FF94A3B8"/>
        </top>
      </border>
    </dxf>
    <dxf>
      <border outline="0">
        <bottom style="thin">
          <color rgb="FF94A3B8"/>
        </bottom>
      </border>
    </dxf>
  </dxfs>
  <tableStyles count="0" defaultTableStyle="TableStyleMedium2" defaultPivotStyle="PivotStyleLight16"/>
  <colors>
    <mruColors>
      <color rgb="FF191981"/>
      <color rgb="FF008000"/>
      <color rgb="FF1A00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 Receipts vs Expenditure!Pivot_MainFlows</c:name>
    <c:fmtId val="2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38100" cap="rnd">
            <a:solidFill>
              <a:schemeClr val="accent2"/>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38100" cap="rnd">
            <a:solidFill>
              <a:schemeClr val="accent2"/>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38100" cap="rnd">
            <a:solidFill>
              <a:schemeClr val="accent2"/>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38100" cap="rnd">
            <a:solidFill>
              <a:schemeClr val="accent2"/>
            </a:solidFill>
            <a:round/>
          </a:ln>
          <a:effectLst/>
        </c:spPr>
        <c:marker>
          <c:symbol val="circle"/>
          <c:size val="8"/>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38100" cap="rnd">
            <a:solidFill>
              <a:schemeClr val="accent2"/>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38100" cap="rnd">
            <a:solidFill>
              <a:schemeClr val="accent2"/>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w="38100" cap="rnd">
            <a:solidFill>
              <a:schemeClr val="accent2"/>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38100" cap="rnd">
            <a:solidFill>
              <a:schemeClr val="accent2"/>
            </a:solidFill>
            <a:round/>
          </a:ln>
          <a:effectLst/>
        </c:spPr>
        <c:marker>
          <c:symbol val="circle"/>
          <c:size val="8"/>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8100" cap="rnd">
            <a:solidFill>
              <a:schemeClr val="accent2"/>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8100" cap="rnd">
            <a:solidFill>
              <a:schemeClr val="accent2"/>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8100" cap="rnd">
            <a:solidFill>
              <a:schemeClr val="accent2"/>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8100" cap="rnd">
            <a:solidFill>
              <a:schemeClr val="accent2"/>
            </a:solidFill>
            <a:round/>
          </a:ln>
          <a:effectLst/>
        </c:spPr>
        <c:marker>
          <c:symbol val="circle"/>
          <c:size val="8"/>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42881567336791E-2"/>
          <c:y val="8.388503271488626E-2"/>
          <c:w val="0.80294346806020822"/>
          <c:h val="0.75463240854278091"/>
        </c:manualLayout>
      </c:layout>
      <c:lineChart>
        <c:grouping val="standard"/>
        <c:varyColors val="0"/>
        <c:ser>
          <c:idx val="0"/>
          <c:order val="0"/>
          <c:tx>
            <c:strRef>
              <c:f>' Receipts vs Expenditure'!$B$2</c:f>
              <c:strCache>
                <c:ptCount val="1"/>
                <c:pt idx="0">
                  <c:v>Revenue Receipts (₹Crore)</c:v>
                </c:pt>
              </c:strCache>
            </c:strRef>
          </c:tx>
          <c:spPr>
            <a:ln w="38100" cap="rnd">
              <a:solidFill>
                <a:schemeClr val="accent2"/>
              </a:solidFill>
              <a:round/>
            </a:ln>
            <a:effectLst/>
          </c:spPr>
          <c:marker>
            <c:symbol val="circle"/>
            <c:size val="8"/>
            <c:spPr>
              <a:solidFill>
                <a:schemeClr val="accent2"/>
              </a:solidFill>
              <a:ln>
                <a:noFill/>
              </a:ln>
              <a:effectLst/>
            </c:spPr>
          </c:marker>
          <c:cat>
            <c:strRef>
              <c:f>' Receipts vs Expenditure'!$A$3:$A$16</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 Receipts vs Expenditure'!$B$3:$B$16</c:f>
              <c:numCache>
                <c:formatCode>General</c:formatCode>
                <c:ptCount val="13"/>
                <c:pt idx="0">
                  <c:v>1217798.79</c:v>
                </c:pt>
                <c:pt idx="1">
                  <c:v>1328908.96</c:v>
                </c:pt>
                <c:pt idx="2">
                  <c:v>1436160.22</c:v>
                </c:pt>
                <c:pt idx="3">
                  <c:v>1615987.98</c:v>
                </c:pt>
                <c:pt idx="4">
                  <c:v>1691143.1</c:v>
                </c:pt>
                <c:pt idx="5">
                  <c:v>1806462.91</c:v>
                </c:pt>
                <c:pt idx="6">
                  <c:v>1948083.53</c:v>
                </c:pt>
                <c:pt idx="7">
                  <c:v>1864513.47</c:v>
                </c:pt>
                <c:pt idx="8">
                  <c:v>2436421.48</c:v>
                </c:pt>
                <c:pt idx="9">
                  <c:v>2713267.2</c:v>
                </c:pt>
                <c:pt idx="10">
                  <c:v>3088174.64</c:v>
                </c:pt>
                <c:pt idx="11">
                  <c:v>3835268.52</c:v>
                </c:pt>
                <c:pt idx="12">
                  <c:v>3485869.29</c:v>
                </c:pt>
              </c:numCache>
            </c:numRef>
          </c:val>
          <c:smooth val="0"/>
          <c:extLst>
            <c:ext xmlns:c16="http://schemas.microsoft.com/office/drawing/2014/chart" uri="{C3380CC4-5D6E-409C-BE32-E72D297353CC}">
              <c16:uniqueId val="{00000000-8500-4267-A287-A37B9756920E}"/>
            </c:ext>
          </c:extLst>
        </c:ser>
        <c:ser>
          <c:idx val="1"/>
          <c:order val="1"/>
          <c:tx>
            <c:strRef>
              <c:f>' Receipts vs Expenditure'!$C$2</c:f>
              <c:strCache>
                <c:ptCount val="1"/>
                <c:pt idx="0">
                  <c:v>Revenue Expenditure (₹Crore)</c:v>
                </c:pt>
              </c:strCache>
            </c:strRef>
          </c:tx>
          <c:spPr>
            <a:ln w="38100" cap="rnd">
              <a:solidFill>
                <a:schemeClr val="accent4"/>
              </a:solidFill>
              <a:round/>
            </a:ln>
            <a:effectLst/>
          </c:spPr>
          <c:marker>
            <c:symbol val="circle"/>
            <c:size val="8"/>
            <c:spPr>
              <a:solidFill>
                <a:schemeClr val="accent4"/>
              </a:solidFill>
              <a:ln>
                <a:noFill/>
              </a:ln>
              <a:effectLst/>
            </c:spPr>
          </c:marker>
          <c:cat>
            <c:strRef>
              <c:f>' Receipts vs Expenditure'!$A$3:$A$16</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 Receipts vs Expenditure'!$C$3:$C$16</c:f>
              <c:numCache>
                <c:formatCode>General</c:formatCode>
                <c:ptCount val="13"/>
                <c:pt idx="0">
                  <c:v>1575096.57</c:v>
                </c:pt>
                <c:pt idx="1">
                  <c:v>1695136.79</c:v>
                </c:pt>
                <c:pt idx="2">
                  <c:v>1779528.81</c:v>
                </c:pt>
                <c:pt idx="3">
                  <c:v>1933018.06</c:v>
                </c:pt>
                <c:pt idx="4">
                  <c:v>2140084.5299999998</c:v>
                </c:pt>
                <c:pt idx="5">
                  <c:v>2261570.81</c:v>
                </c:pt>
                <c:pt idx="6">
                  <c:v>2615319.67</c:v>
                </c:pt>
                <c:pt idx="7">
                  <c:v>3314851.92</c:v>
                </c:pt>
                <c:pt idx="8">
                  <c:v>3468188.81</c:v>
                </c:pt>
                <c:pt idx="9">
                  <c:v>3783698.51</c:v>
                </c:pt>
                <c:pt idx="10">
                  <c:v>3854082.21</c:v>
                </c:pt>
                <c:pt idx="11">
                  <c:v>4359702.41</c:v>
                </c:pt>
                <c:pt idx="12">
                  <c:v>4096607.07</c:v>
                </c:pt>
              </c:numCache>
            </c:numRef>
          </c:val>
          <c:smooth val="0"/>
          <c:extLst>
            <c:ext xmlns:c16="http://schemas.microsoft.com/office/drawing/2014/chart" uri="{C3380CC4-5D6E-409C-BE32-E72D297353CC}">
              <c16:uniqueId val="{00000001-8500-4267-A287-A37B9756920E}"/>
            </c:ext>
          </c:extLst>
        </c:ser>
        <c:ser>
          <c:idx val="2"/>
          <c:order val="2"/>
          <c:tx>
            <c:strRef>
              <c:f>' Receipts vs Expenditure'!$D$2</c:f>
              <c:strCache>
                <c:ptCount val="1"/>
                <c:pt idx="0">
                  <c:v>Capital Expenditure (₹Crore)</c:v>
                </c:pt>
              </c:strCache>
            </c:strRef>
          </c:tx>
          <c:spPr>
            <a:ln w="38100" cap="rnd">
              <a:solidFill>
                <a:schemeClr val="accent6"/>
              </a:solidFill>
              <a:round/>
            </a:ln>
            <a:effectLst/>
          </c:spPr>
          <c:marker>
            <c:symbol val="circle"/>
            <c:size val="8"/>
            <c:spPr>
              <a:solidFill>
                <a:schemeClr val="accent6"/>
              </a:solidFill>
              <a:ln>
                <a:noFill/>
              </a:ln>
              <a:effectLst/>
            </c:spPr>
          </c:marker>
          <c:cat>
            <c:strRef>
              <c:f>' Receipts vs Expenditure'!$A$3:$A$16</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 Receipts vs Expenditure'!$D$3:$D$16</c:f>
              <c:numCache>
                <c:formatCode>General</c:formatCode>
                <c:ptCount val="13"/>
                <c:pt idx="0">
                  <c:v>3711135.71</c:v>
                </c:pt>
                <c:pt idx="1">
                  <c:v>3921706.24</c:v>
                </c:pt>
                <c:pt idx="2">
                  <c:v>4063795.25</c:v>
                </c:pt>
                <c:pt idx="3">
                  <c:v>5988306.4100000001</c:v>
                </c:pt>
                <c:pt idx="4">
                  <c:v>6279856.7999999998</c:v>
                </c:pt>
                <c:pt idx="5">
                  <c:v>6519135.5800000001</c:v>
                </c:pt>
                <c:pt idx="6">
                  <c:v>6759434.6500000004</c:v>
                </c:pt>
                <c:pt idx="7">
                  <c:v>6777429.6600000001</c:v>
                </c:pt>
                <c:pt idx="8">
                  <c:v>7445313.0499999998</c:v>
                </c:pt>
                <c:pt idx="9">
                  <c:v>7966516.6100000003</c:v>
                </c:pt>
                <c:pt idx="10">
                  <c:v>8460982.8800000008</c:v>
                </c:pt>
                <c:pt idx="11">
                  <c:v>10293122.49</c:v>
                </c:pt>
                <c:pt idx="12">
                  <c:v>9500416.2799999993</c:v>
                </c:pt>
              </c:numCache>
            </c:numRef>
          </c:val>
          <c:smooth val="0"/>
          <c:extLst>
            <c:ext xmlns:c16="http://schemas.microsoft.com/office/drawing/2014/chart" uri="{C3380CC4-5D6E-409C-BE32-E72D297353CC}">
              <c16:uniqueId val="{00000002-8500-4267-A287-A37B9756920E}"/>
            </c:ext>
          </c:extLst>
        </c:ser>
        <c:ser>
          <c:idx val="3"/>
          <c:order val="3"/>
          <c:tx>
            <c:strRef>
              <c:f>' Receipts vs Expenditure'!$E$2</c:f>
              <c:strCache>
                <c:ptCount val="1"/>
                <c:pt idx="0">
                  <c:v>Capital Receipts (₹Crore)</c:v>
                </c:pt>
              </c:strCache>
            </c:strRef>
          </c:tx>
          <c:spPr>
            <a:ln w="38100" cap="rnd">
              <a:solidFill>
                <a:schemeClr val="accent2">
                  <a:lumMod val="60000"/>
                </a:schemeClr>
              </a:solidFill>
              <a:round/>
            </a:ln>
            <a:effectLst/>
          </c:spPr>
          <c:marker>
            <c:symbol val="circle"/>
            <c:size val="8"/>
            <c:spPr>
              <a:solidFill>
                <a:schemeClr val="accent2">
                  <a:lumMod val="60000"/>
                </a:schemeClr>
              </a:solidFill>
              <a:ln>
                <a:noFill/>
              </a:ln>
              <a:effectLst/>
            </c:spPr>
          </c:marker>
          <c:cat>
            <c:strRef>
              <c:f>' Receipts vs Expenditure'!$A$3:$A$16</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 Receipts vs Expenditure'!$E$3:$E$16</c:f>
              <c:numCache>
                <c:formatCode>General</c:formatCode>
                <c:ptCount val="13"/>
                <c:pt idx="0">
                  <c:v>4048883.11</c:v>
                </c:pt>
                <c:pt idx="1">
                  <c:v>4282482.8499999996</c:v>
                </c:pt>
                <c:pt idx="2">
                  <c:v>4400951.21</c:v>
                </c:pt>
                <c:pt idx="3">
                  <c:v>6222850.2400000002</c:v>
                </c:pt>
                <c:pt idx="4">
                  <c:v>6724689.1799999997</c:v>
                </c:pt>
                <c:pt idx="5">
                  <c:v>6883718.3899999997</c:v>
                </c:pt>
                <c:pt idx="6">
                  <c:v>7370383.4699999997</c:v>
                </c:pt>
                <c:pt idx="7">
                  <c:v>8230730.0800000001</c:v>
                </c:pt>
                <c:pt idx="8">
                  <c:v>8288737.9699999997</c:v>
                </c:pt>
                <c:pt idx="9">
                  <c:v>8947200.1400000006</c:v>
                </c:pt>
                <c:pt idx="10">
                  <c:v>9322304.1799999997</c:v>
                </c:pt>
                <c:pt idx="11">
                  <c:v>10760098.77</c:v>
                </c:pt>
                <c:pt idx="12">
                  <c:v>9929531.8800000008</c:v>
                </c:pt>
              </c:numCache>
            </c:numRef>
          </c:val>
          <c:smooth val="0"/>
          <c:extLst>
            <c:ext xmlns:c16="http://schemas.microsoft.com/office/drawing/2014/chart" uri="{C3380CC4-5D6E-409C-BE32-E72D297353CC}">
              <c16:uniqueId val="{00000003-8500-4267-A287-A37B9756920E}"/>
            </c:ext>
          </c:extLst>
        </c:ser>
        <c:dLbls>
          <c:showLegendKey val="0"/>
          <c:showVal val="0"/>
          <c:showCatName val="0"/>
          <c:showSerName val="0"/>
          <c:showPercent val="0"/>
          <c:showBubbleSize val="0"/>
        </c:dLbls>
        <c:marker val="1"/>
        <c:smooth val="0"/>
        <c:axId val="1081172896"/>
        <c:axId val="1081176640"/>
      </c:lineChart>
      <c:catAx>
        <c:axId val="108117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none" spc="0" normalizeH="0" baseline="0">
                <a:solidFill>
                  <a:schemeClr val="tx1">
                    <a:lumMod val="65000"/>
                    <a:lumOff val="35000"/>
                  </a:schemeClr>
                </a:solidFill>
                <a:latin typeface="+mn-lt"/>
                <a:ea typeface="+mn-ea"/>
                <a:cs typeface="+mn-cs"/>
              </a:defRPr>
            </a:pPr>
            <a:endParaRPr lang="en-US"/>
          </a:p>
        </c:txPr>
        <c:crossAx val="1081176640"/>
        <c:crosses val="autoZero"/>
        <c:auto val="1"/>
        <c:lblAlgn val="ctr"/>
        <c:lblOffset val="100"/>
        <c:noMultiLvlLbl val="0"/>
      </c:catAx>
      <c:valAx>
        <c:axId val="10811766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172896"/>
        <c:crosses val="autoZero"/>
        <c:crossBetween val="between"/>
      </c:valAx>
      <c:spPr>
        <a:noFill/>
        <a:ln>
          <a:noFill/>
        </a:ln>
        <a:effectLst/>
      </c:spPr>
    </c:plotArea>
    <c:legend>
      <c:legendPos val="r"/>
      <c:layout>
        <c:manualLayout>
          <c:xMode val="edge"/>
          <c:yMode val="edge"/>
          <c:x val="0.86308576351345601"/>
          <c:y val="9.6868276621331864E-2"/>
          <c:w val="0.10461586750749313"/>
          <c:h val="0.7458311804589571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Proj.xlsx]deficit and surplus!Pivot_Deficit</c:name>
    <c:fmtId val="9"/>
  </c:pivotSource>
  <c:chart>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60857899444077E-2"/>
          <c:y val="6.5636096958468421E-2"/>
          <c:w val="0.86873958753485436"/>
          <c:h val="0.72405029334568471"/>
        </c:manualLayout>
      </c:layout>
      <c:barChart>
        <c:barDir val="bar"/>
        <c:grouping val="clustered"/>
        <c:varyColors val="0"/>
        <c:ser>
          <c:idx val="0"/>
          <c:order val="0"/>
          <c:tx>
            <c:strRef>
              <c:f>'deficit and surplus'!$B$1</c:f>
              <c:strCache>
                <c:ptCount val="1"/>
                <c:pt idx="0">
                  <c:v>Revenue Deficit(₹Cr)</c:v>
                </c:pt>
              </c:strCache>
            </c:strRef>
          </c:tx>
          <c:spPr>
            <a:solidFill>
              <a:srgbClr val="C00000"/>
            </a:solidFill>
            <a:ln>
              <a:noFill/>
            </a:ln>
            <a:effectLst/>
          </c:spPr>
          <c:invertIfNegative val="0"/>
          <c:cat>
            <c:strRef>
              <c:f>'deficit and surplus'!$A$2:$A$15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'deficit and surplus'!$B$2:$B$15</c:f>
              <c:numCache>
                <c:formatCode>General</c:formatCode>
                <c:ptCount val="13"/>
                <c:pt idx="0">
                  <c:v>-357297.78</c:v>
                </c:pt>
                <c:pt idx="1">
                  <c:v>-366227.83000000007</c:v>
                </c:pt>
                <c:pt idx="2">
                  <c:v>-343368.59000000008</c:v>
                </c:pt>
                <c:pt idx="3">
                  <c:v>-317030.08000000007</c:v>
                </c:pt>
                <c:pt idx="4">
                  <c:v>-448941.4299999997</c:v>
                </c:pt>
                <c:pt idx="5">
                  <c:v>-455107.90000000014</c:v>
                </c:pt>
                <c:pt idx="6">
                  <c:v>-667236.1399999999</c:v>
                </c:pt>
                <c:pt idx="7">
                  <c:v>-1450338.45</c:v>
                </c:pt>
                <c:pt idx="8">
                  <c:v>-1031767.3300000001</c:v>
                </c:pt>
                <c:pt idx="9">
                  <c:v>-1070431.3099999996</c:v>
                </c:pt>
                <c:pt idx="10">
                  <c:v>-765907.56999999983</c:v>
                </c:pt>
                <c:pt idx="11">
                  <c:v>-524433.89000000013</c:v>
                </c:pt>
                <c:pt idx="12">
                  <c:v>-610737.7799999998</c:v>
                </c:pt>
              </c:numCache>
            </c:numRef>
          </c:val>
          <c:extLst>
            <c:ext xmlns:c16="http://schemas.microsoft.com/office/drawing/2014/chart" uri="{C3380CC4-5D6E-409C-BE32-E72D297353CC}">
              <c16:uniqueId val="{00000000-EED2-4B63-BBD4-52BC51BB8A45}"/>
            </c:ext>
          </c:extLst>
        </c:ser>
        <c:ser>
          <c:idx val="1"/>
          <c:order val="1"/>
          <c:tx>
            <c:strRef>
              <c:f>'deficit and surplus'!$C$1</c:f>
              <c:strCache>
                <c:ptCount val="1"/>
                <c:pt idx="0">
                  <c:v>Capital Surplus(₹Cr)</c:v>
                </c:pt>
              </c:strCache>
            </c:strRef>
          </c:tx>
          <c:spPr>
            <a:solidFill>
              <a:srgbClr val="00B050"/>
            </a:solidFill>
            <a:ln>
              <a:noFill/>
            </a:ln>
            <a:effectLst/>
          </c:spPr>
          <c:invertIfNegative val="0"/>
          <c:cat>
            <c:strRef>
              <c:f>'deficit and surplus'!$A$2:$A$15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'deficit and surplus'!$C$2:$C$15</c:f>
              <c:numCache>
                <c:formatCode>General</c:formatCode>
                <c:ptCount val="13"/>
                <c:pt idx="0">
                  <c:v>337747.39999999991</c:v>
                </c:pt>
                <c:pt idx="1">
                  <c:v>360776.6099999994</c:v>
                </c:pt>
                <c:pt idx="2">
                  <c:v>337155.95999999996</c:v>
                </c:pt>
                <c:pt idx="3">
                  <c:v>234543.83000000007</c:v>
                </c:pt>
                <c:pt idx="4">
                  <c:v>444832.37999999989</c:v>
                </c:pt>
                <c:pt idx="5">
                  <c:v>364582.80999999959</c:v>
                </c:pt>
                <c:pt idx="6">
                  <c:v>610948.81999999937</c:v>
                </c:pt>
                <c:pt idx="7">
                  <c:v>1453300.42</c:v>
                </c:pt>
                <c:pt idx="8">
                  <c:v>843424.91999999993</c:v>
                </c:pt>
                <c:pt idx="9">
                  <c:v>980683.53000000026</c:v>
                </c:pt>
                <c:pt idx="10">
                  <c:v>861321.29999999888</c:v>
                </c:pt>
                <c:pt idx="11">
                  <c:v>466976.27999999933</c:v>
                </c:pt>
                <c:pt idx="12">
                  <c:v>429115.60000000149</c:v>
                </c:pt>
              </c:numCache>
            </c:numRef>
          </c:val>
          <c:extLst>
            <c:ext xmlns:c16="http://schemas.microsoft.com/office/drawing/2014/chart" uri="{C3380CC4-5D6E-409C-BE32-E72D297353CC}">
              <c16:uniqueId val="{00000001-EED2-4B63-BBD4-52BC51BB8A45}"/>
            </c:ext>
          </c:extLst>
        </c:ser>
        <c:dLbls>
          <c:showLegendKey val="0"/>
          <c:showVal val="0"/>
          <c:showCatName val="0"/>
          <c:showSerName val="0"/>
          <c:showPercent val="0"/>
          <c:showBubbleSize val="0"/>
        </c:dLbls>
        <c:gapWidth val="99"/>
        <c:overlap val="100"/>
        <c:axId val="493175439"/>
        <c:axId val="493170031"/>
      </c:barChart>
      <c:catAx>
        <c:axId val="493175439"/>
        <c:scaling>
          <c:orientation val="maxMin"/>
        </c:scaling>
        <c:delete val="0"/>
        <c:axPos val="l"/>
        <c:numFmt formatCode="General" sourceLinked="1"/>
        <c:majorTickMark val="out"/>
        <c:minorTickMark val="none"/>
        <c:tickLblPos val="nextTo"/>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18900000" scaled="1"/>
            <a:tileRect/>
          </a:grad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93170031"/>
        <c:crosses val="autoZero"/>
        <c:auto val="1"/>
        <c:lblAlgn val="ctr"/>
        <c:lblOffset val="100"/>
        <c:noMultiLvlLbl val="0"/>
      </c:catAx>
      <c:valAx>
        <c:axId val="493170031"/>
        <c:scaling>
          <c:orientation val="minMax"/>
          <c:max val="1600000"/>
          <c:min val="-1600000"/>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high"/>
        <c:spPr>
          <a:solidFill>
            <a:sysClr val="window" lastClr="FFFFFF"/>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175439"/>
        <c:crosses val="autoZero"/>
        <c:crossBetween val="between"/>
      </c:valAx>
      <c:spPr>
        <a:noFill/>
        <a:ln>
          <a:noFill/>
        </a:ln>
        <a:effectLst/>
      </c:spPr>
    </c:plotArea>
    <c:legend>
      <c:legendPos val="b"/>
      <c:layout>
        <c:manualLayout>
          <c:xMode val="edge"/>
          <c:yMode val="edge"/>
          <c:x val="0.26807287776744204"/>
          <c:y val="0.87523937452779343"/>
          <c:w val="0.49538313423428892"/>
          <c:h val="9.389934063879287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Proj.xlsx]Tax Revenue composition!Pivot_Tax</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pivotFmt>
      <c:pivotFmt>
        <c:idx val="141"/>
        <c:spPr>
          <a:solidFill>
            <a:schemeClr val="accent1"/>
          </a:solidFill>
          <a:ln>
            <a:noFill/>
          </a:ln>
          <a:effectLst/>
        </c:spPr>
        <c:marker>
          <c:symbol val="none"/>
        </c:marker>
      </c:pivotFmt>
      <c:pivotFmt>
        <c:idx val="142"/>
        <c:spPr>
          <a:solidFill>
            <a:schemeClr val="accent1"/>
          </a:solidFill>
          <a:ln>
            <a:noFill/>
          </a:ln>
          <a:effectLst/>
        </c:spPr>
        <c:marker>
          <c:symbol val="none"/>
        </c:marker>
      </c:pivotFmt>
      <c:pivotFmt>
        <c:idx val="143"/>
        <c:spPr>
          <a:solidFill>
            <a:schemeClr val="accent1"/>
          </a:solidFill>
          <a:ln>
            <a:noFill/>
          </a:ln>
          <a:effectLst/>
        </c:spPr>
        <c:marker>
          <c:symbol val="none"/>
        </c:marker>
      </c:pivotFmt>
      <c:pivotFmt>
        <c:idx val="144"/>
        <c:spPr>
          <a:solidFill>
            <a:schemeClr val="accent1"/>
          </a:solidFill>
          <a:ln>
            <a:noFill/>
          </a:ln>
          <a:effectLst/>
        </c:spPr>
        <c:marker>
          <c:symbol val="none"/>
        </c:marke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612378961104435E-2"/>
          <c:y val="8.6459780762698779E-2"/>
          <c:w val="0.73934828061746516"/>
          <c:h val="0.67633261528583433"/>
        </c:manualLayout>
      </c:layout>
      <c:barChart>
        <c:barDir val="col"/>
        <c:grouping val="percentStacked"/>
        <c:varyColors val="0"/>
        <c:ser>
          <c:idx val="0"/>
          <c:order val="0"/>
          <c:tx>
            <c:strRef>
              <c:f>'Tax Revenue composition'!$B$1:$B$2</c:f>
              <c:strCache>
                <c:ptCount val="1"/>
                <c:pt idx="0">
                  <c:v>CGST</c:v>
                </c:pt>
              </c:strCache>
            </c:strRef>
          </c:tx>
          <c:spPr>
            <a:solidFill>
              <a:schemeClr val="accent1"/>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composition'!$B$3:$B$15</c:f>
              <c:numCache>
                <c:formatCode>General</c:formatCode>
                <c:ptCount val="13"/>
                <c:pt idx="0">
                  <c:v>0</c:v>
                </c:pt>
                <c:pt idx="1">
                  <c:v>0</c:v>
                </c:pt>
                <c:pt idx="2">
                  <c:v>0</c:v>
                </c:pt>
                <c:pt idx="3">
                  <c:v>0</c:v>
                </c:pt>
                <c:pt idx="4">
                  <c:v>203261.4</c:v>
                </c:pt>
                <c:pt idx="5">
                  <c:v>457534.01</c:v>
                </c:pt>
                <c:pt idx="6">
                  <c:v>494070.6</c:v>
                </c:pt>
                <c:pt idx="7">
                  <c:v>456333.97</c:v>
                </c:pt>
                <c:pt idx="8">
                  <c:v>591226.14</c:v>
                </c:pt>
                <c:pt idx="9">
                  <c:v>718521.75</c:v>
                </c:pt>
                <c:pt idx="10">
                  <c:v>820622.09</c:v>
                </c:pt>
                <c:pt idx="11">
                  <c:v>908459</c:v>
                </c:pt>
                <c:pt idx="12">
                  <c:v>1010890</c:v>
                </c:pt>
              </c:numCache>
            </c:numRef>
          </c:val>
          <c:extLst>
            <c:ext xmlns:c16="http://schemas.microsoft.com/office/drawing/2014/chart" uri="{C3380CC4-5D6E-409C-BE32-E72D297353CC}">
              <c16:uniqueId val="{00000000-9F32-4D50-9B0A-9995FA4E1A34}"/>
            </c:ext>
          </c:extLst>
        </c:ser>
        <c:ser>
          <c:idx val="1"/>
          <c:order val="1"/>
          <c:tx>
            <c:strRef>
              <c:f>'Tax Revenue composition'!$C$1:$C$2</c:f>
              <c:strCache>
                <c:ptCount val="1"/>
                <c:pt idx="0">
                  <c:v>Corporation Tax</c:v>
                </c:pt>
              </c:strCache>
            </c:strRef>
          </c:tx>
          <c:spPr>
            <a:solidFill>
              <a:schemeClr val="accent2"/>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composition'!$C$3:$C$15</c:f>
              <c:numCache>
                <c:formatCode>General</c:formatCode>
                <c:ptCount val="13"/>
                <c:pt idx="0">
                  <c:v>394677.85</c:v>
                </c:pt>
                <c:pt idx="1">
                  <c:v>428924.74</c:v>
                </c:pt>
                <c:pt idx="2">
                  <c:v>453228.33</c:v>
                </c:pt>
                <c:pt idx="3">
                  <c:v>484923.86</c:v>
                </c:pt>
                <c:pt idx="4">
                  <c:v>571201.87</c:v>
                </c:pt>
                <c:pt idx="5">
                  <c:v>663571.62</c:v>
                </c:pt>
                <c:pt idx="6">
                  <c:v>556875.55000000005</c:v>
                </c:pt>
                <c:pt idx="7">
                  <c:v>457718.97</c:v>
                </c:pt>
                <c:pt idx="8">
                  <c:v>712037.33</c:v>
                </c:pt>
                <c:pt idx="9">
                  <c:v>825833.64</c:v>
                </c:pt>
                <c:pt idx="10">
                  <c:v>911055.01</c:v>
                </c:pt>
                <c:pt idx="11">
                  <c:v>980000</c:v>
                </c:pt>
                <c:pt idx="12">
                  <c:v>1082000</c:v>
                </c:pt>
              </c:numCache>
            </c:numRef>
          </c:val>
          <c:extLst>
            <c:ext xmlns:c16="http://schemas.microsoft.com/office/drawing/2014/chart" uri="{C3380CC4-5D6E-409C-BE32-E72D297353CC}">
              <c16:uniqueId val="{000000F5-9F32-4D50-9B0A-9995FA4E1A34}"/>
            </c:ext>
          </c:extLst>
        </c:ser>
        <c:ser>
          <c:idx val="2"/>
          <c:order val="2"/>
          <c:tx>
            <c:strRef>
              <c:f>'Tax Revenue composition'!$D$1:$D$2</c:f>
              <c:strCache>
                <c:ptCount val="1"/>
                <c:pt idx="0">
                  <c:v>Customs</c:v>
                </c:pt>
              </c:strCache>
            </c:strRef>
          </c:tx>
          <c:spPr>
            <a:solidFill>
              <a:schemeClr val="accent3"/>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composition'!$D$3:$D$15</c:f>
              <c:numCache>
                <c:formatCode>General</c:formatCode>
                <c:ptCount val="13"/>
                <c:pt idx="0">
                  <c:v>172085.42</c:v>
                </c:pt>
                <c:pt idx="1">
                  <c:v>188016.19</c:v>
                </c:pt>
                <c:pt idx="2">
                  <c:v>210338</c:v>
                </c:pt>
                <c:pt idx="3">
                  <c:v>225370.34</c:v>
                </c:pt>
                <c:pt idx="4">
                  <c:v>129029.92</c:v>
                </c:pt>
                <c:pt idx="5">
                  <c:v>117812.85</c:v>
                </c:pt>
                <c:pt idx="6">
                  <c:v>109282.54</c:v>
                </c:pt>
                <c:pt idx="7">
                  <c:v>134750.39000000001</c:v>
                </c:pt>
                <c:pt idx="8">
                  <c:v>199728.3</c:v>
                </c:pt>
                <c:pt idx="9">
                  <c:v>213372.09</c:v>
                </c:pt>
                <c:pt idx="10">
                  <c:v>233118.97</c:v>
                </c:pt>
                <c:pt idx="11">
                  <c:v>235000</c:v>
                </c:pt>
                <c:pt idx="12">
                  <c:v>240000</c:v>
                </c:pt>
              </c:numCache>
            </c:numRef>
          </c:val>
          <c:extLst>
            <c:ext xmlns:c16="http://schemas.microsoft.com/office/drawing/2014/chart" uri="{C3380CC4-5D6E-409C-BE32-E72D297353CC}">
              <c16:uniqueId val="{000000FD-9F32-4D50-9B0A-9995FA4E1A34}"/>
            </c:ext>
          </c:extLst>
        </c:ser>
        <c:ser>
          <c:idx val="3"/>
          <c:order val="3"/>
          <c:tx>
            <c:strRef>
              <c:f>'Tax Revenue composition'!$E$1:$E$2</c:f>
              <c:strCache>
                <c:ptCount val="1"/>
                <c:pt idx="0">
                  <c:v>GST Compensation Cess</c:v>
                </c:pt>
              </c:strCache>
            </c:strRef>
          </c:tx>
          <c:spPr>
            <a:solidFill>
              <a:schemeClr val="accent4"/>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composition'!$E$3:$E$15</c:f>
              <c:numCache>
                <c:formatCode>General</c:formatCode>
                <c:ptCount val="13"/>
                <c:pt idx="0">
                  <c:v>0</c:v>
                </c:pt>
                <c:pt idx="1">
                  <c:v>0</c:v>
                </c:pt>
                <c:pt idx="2">
                  <c:v>0</c:v>
                </c:pt>
                <c:pt idx="3">
                  <c:v>0</c:v>
                </c:pt>
                <c:pt idx="4">
                  <c:v>62611.59</c:v>
                </c:pt>
                <c:pt idx="5">
                  <c:v>95080.71</c:v>
                </c:pt>
                <c:pt idx="6">
                  <c:v>95553.09</c:v>
                </c:pt>
                <c:pt idx="7">
                  <c:v>85191.91</c:v>
                </c:pt>
                <c:pt idx="8">
                  <c:v>104768.66</c:v>
                </c:pt>
                <c:pt idx="9">
                  <c:v>125862.41</c:v>
                </c:pt>
                <c:pt idx="10">
                  <c:v>141436.16</c:v>
                </c:pt>
                <c:pt idx="11">
                  <c:v>153440</c:v>
                </c:pt>
                <c:pt idx="12">
                  <c:v>167110</c:v>
                </c:pt>
              </c:numCache>
            </c:numRef>
          </c:val>
          <c:extLst>
            <c:ext xmlns:c16="http://schemas.microsoft.com/office/drawing/2014/chart" uri="{C3380CC4-5D6E-409C-BE32-E72D297353CC}">
              <c16:uniqueId val="{00000001-43EA-48D1-8AC0-C0FAE65E84C8}"/>
            </c:ext>
          </c:extLst>
        </c:ser>
        <c:ser>
          <c:idx val="4"/>
          <c:order val="4"/>
          <c:tx>
            <c:strRef>
              <c:f>'Tax Revenue composition'!$F$1:$F$2</c:f>
              <c:strCache>
                <c:ptCount val="1"/>
                <c:pt idx="0">
                  <c:v>IGST</c:v>
                </c:pt>
              </c:strCache>
            </c:strRef>
          </c:tx>
          <c:spPr>
            <a:solidFill>
              <a:schemeClr val="accent5"/>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composition'!$F$3:$F$15</c:f>
              <c:numCache>
                <c:formatCode>General</c:formatCode>
                <c:ptCount val="13"/>
                <c:pt idx="0">
                  <c:v>0</c:v>
                </c:pt>
                <c:pt idx="1">
                  <c:v>0</c:v>
                </c:pt>
                <c:pt idx="2">
                  <c:v>0</c:v>
                </c:pt>
                <c:pt idx="3">
                  <c:v>0</c:v>
                </c:pt>
                <c:pt idx="4">
                  <c:v>176688.44</c:v>
                </c:pt>
                <c:pt idx="5">
                  <c:v>28944.58</c:v>
                </c:pt>
                <c:pt idx="6">
                  <c:v>9125.2099999999991</c:v>
                </c:pt>
                <c:pt idx="7">
                  <c:v>7251.43</c:v>
                </c:pt>
                <c:pt idx="8">
                  <c:v>2119.08</c:v>
                </c:pt>
                <c:pt idx="9">
                  <c:v>4748.29</c:v>
                </c:pt>
                <c:pt idx="10">
                  <c:v>-4850.43</c:v>
                </c:pt>
                <c:pt idx="11">
                  <c:v>0</c:v>
                </c:pt>
                <c:pt idx="12">
                  <c:v>0</c:v>
                </c:pt>
              </c:numCache>
            </c:numRef>
          </c:val>
          <c:extLst>
            <c:ext xmlns:c16="http://schemas.microsoft.com/office/drawing/2014/chart" uri="{C3380CC4-5D6E-409C-BE32-E72D297353CC}">
              <c16:uniqueId val="{00000002-43EA-48D1-8AC0-C0FAE65E84C8}"/>
            </c:ext>
          </c:extLst>
        </c:ser>
        <c:ser>
          <c:idx val="5"/>
          <c:order val="5"/>
          <c:tx>
            <c:strRef>
              <c:f>'Tax Revenue composition'!$G$1:$G$2</c:f>
              <c:strCache>
                <c:ptCount val="1"/>
                <c:pt idx="0">
                  <c:v>Income Tax (excl. Corp Tax)</c:v>
                </c:pt>
              </c:strCache>
            </c:strRef>
          </c:tx>
          <c:spPr>
            <a:solidFill>
              <a:schemeClr val="accent6"/>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composition'!$G$3:$G$15</c:f>
              <c:numCache>
                <c:formatCode>General</c:formatCode>
                <c:ptCount val="13"/>
                <c:pt idx="0">
                  <c:v>237817.23</c:v>
                </c:pt>
                <c:pt idx="1">
                  <c:v>258325.65</c:v>
                </c:pt>
                <c:pt idx="2">
                  <c:v>280322.5</c:v>
                </c:pt>
                <c:pt idx="3">
                  <c:v>340504.5</c:v>
                </c:pt>
                <c:pt idx="4">
                  <c:v>408091.43</c:v>
                </c:pt>
                <c:pt idx="5">
                  <c:v>461487.51</c:v>
                </c:pt>
                <c:pt idx="6">
                  <c:v>480348.14</c:v>
                </c:pt>
                <c:pt idx="7">
                  <c:v>470391.24</c:v>
                </c:pt>
                <c:pt idx="8">
                  <c:v>673100.48</c:v>
                </c:pt>
                <c:pt idx="9">
                  <c:v>808221.32</c:v>
                </c:pt>
                <c:pt idx="10">
                  <c:v>1010947.77</c:v>
                </c:pt>
                <c:pt idx="11">
                  <c:v>1199300</c:v>
                </c:pt>
                <c:pt idx="12">
                  <c:v>1357000</c:v>
                </c:pt>
              </c:numCache>
            </c:numRef>
          </c:val>
          <c:extLst>
            <c:ext xmlns:c16="http://schemas.microsoft.com/office/drawing/2014/chart" uri="{C3380CC4-5D6E-409C-BE32-E72D297353CC}">
              <c16:uniqueId val="{00000003-43EA-48D1-8AC0-C0FAE65E84C8}"/>
            </c:ext>
          </c:extLst>
        </c:ser>
        <c:ser>
          <c:idx val="6"/>
          <c:order val="6"/>
          <c:tx>
            <c:strRef>
              <c:f>'Tax Revenue composition'!$H$1:$H$2</c:f>
              <c:strCache>
                <c:ptCount val="1"/>
                <c:pt idx="0">
                  <c:v>Securities Transaction Tax</c:v>
                </c:pt>
              </c:strCache>
            </c:strRef>
          </c:tx>
          <c:spPr>
            <a:solidFill>
              <a:schemeClr val="accent1">
                <a:lumMod val="60000"/>
              </a:schemeClr>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composition'!$H$3:$H$15</c:f>
              <c:numCache>
                <c:formatCode>General</c:formatCode>
                <c:ptCount val="13"/>
                <c:pt idx="0">
                  <c:v>5017.5</c:v>
                </c:pt>
                <c:pt idx="1">
                  <c:v>7398.15</c:v>
                </c:pt>
                <c:pt idx="2">
                  <c:v>7350.12</c:v>
                </c:pt>
                <c:pt idx="3">
                  <c:v>8998.1200000000008</c:v>
                </c:pt>
                <c:pt idx="4">
                  <c:v>11881.4</c:v>
                </c:pt>
                <c:pt idx="5">
                  <c:v>11527.5</c:v>
                </c:pt>
                <c:pt idx="6">
                  <c:v>12374.23</c:v>
                </c:pt>
                <c:pt idx="7">
                  <c:v>16926.990000000002</c:v>
                </c:pt>
                <c:pt idx="8">
                  <c:v>23191.03</c:v>
                </c:pt>
                <c:pt idx="9">
                  <c:v>25085.37</c:v>
                </c:pt>
                <c:pt idx="10">
                  <c:v>33777.78</c:v>
                </c:pt>
                <c:pt idx="11">
                  <c:v>55000</c:v>
                </c:pt>
                <c:pt idx="12">
                  <c:v>78000</c:v>
                </c:pt>
              </c:numCache>
            </c:numRef>
          </c:val>
          <c:extLst>
            <c:ext xmlns:c16="http://schemas.microsoft.com/office/drawing/2014/chart" uri="{C3380CC4-5D6E-409C-BE32-E72D297353CC}">
              <c16:uniqueId val="{00000004-43EA-48D1-8AC0-C0FAE65E84C8}"/>
            </c:ext>
          </c:extLst>
        </c:ser>
        <c:ser>
          <c:idx val="7"/>
          <c:order val="7"/>
          <c:tx>
            <c:strRef>
              <c:f>'Tax Revenue composition'!$I$1:$I$2</c:f>
              <c:strCache>
                <c:ptCount val="1"/>
                <c:pt idx="0">
                  <c:v>Service Tax</c:v>
                </c:pt>
              </c:strCache>
            </c:strRef>
          </c:tx>
          <c:spPr>
            <a:solidFill>
              <a:schemeClr val="accent2">
                <a:lumMod val="60000"/>
              </a:schemeClr>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composition'!$I$3:$I$15</c:f>
              <c:numCache>
                <c:formatCode>General</c:formatCode>
                <c:ptCount val="13"/>
                <c:pt idx="0">
                  <c:v>154778.12</c:v>
                </c:pt>
                <c:pt idx="1">
                  <c:v>167969.04</c:v>
                </c:pt>
                <c:pt idx="2">
                  <c:v>211414.25</c:v>
                </c:pt>
                <c:pt idx="3">
                  <c:v>254498.74</c:v>
                </c:pt>
                <c:pt idx="4">
                  <c:v>81228.070000000007</c:v>
                </c:pt>
                <c:pt idx="5">
                  <c:v>6903.62</c:v>
                </c:pt>
                <c:pt idx="6">
                  <c:v>6029.11</c:v>
                </c:pt>
                <c:pt idx="7">
                  <c:v>1614.84</c:v>
                </c:pt>
                <c:pt idx="8">
                  <c:v>1011.82</c:v>
                </c:pt>
                <c:pt idx="9">
                  <c:v>430.77</c:v>
                </c:pt>
                <c:pt idx="10">
                  <c:v>424.96</c:v>
                </c:pt>
                <c:pt idx="11">
                  <c:v>100</c:v>
                </c:pt>
                <c:pt idx="12">
                  <c:v>100</c:v>
                </c:pt>
              </c:numCache>
            </c:numRef>
          </c:val>
          <c:extLst>
            <c:ext xmlns:c16="http://schemas.microsoft.com/office/drawing/2014/chart" uri="{C3380CC4-5D6E-409C-BE32-E72D297353CC}">
              <c16:uniqueId val="{00000005-43EA-48D1-8AC0-C0FAE65E84C8}"/>
            </c:ext>
          </c:extLst>
        </c:ser>
        <c:ser>
          <c:idx val="8"/>
          <c:order val="8"/>
          <c:tx>
            <c:strRef>
              <c:f>'Tax Revenue composition'!$J$1:$J$2</c:f>
              <c:strCache>
                <c:ptCount val="1"/>
                <c:pt idx="0">
                  <c:v>Union Excise Duties</c:v>
                </c:pt>
              </c:strCache>
            </c:strRef>
          </c:tx>
          <c:spPr>
            <a:solidFill>
              <a:schemeClr val="accent3">
                <a:lumMod val="60000"/>
              </a:schemeClr>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composition'!$J$3:$J$15</c:f>
              <c:numCache>
                <c:formatCode>General</c:formatCode>
                <c:ptCount val="13"/>
                <c:pt idx="0">
                  <c:v>169455.14</c:v>
                </c:pt>
                <c:pt idx="1">
                  <c:v>188127.6</c:v>
                </c:pt>
                <c:pt idx="2">
                  <c:v>287148.55</c:v>
                </c:pt>
                <c:pt idx="3">
                  <c:v>380495.43</c:v>
                </c:pt>
                <c:pt idx="4">
                  <c:v>258635.93</c:v>
                </c:pt>
                <c:pt idx="5">
                  <c:v>230992.59</c:v>
                </c:pt>
                <c:pt idx="6">
                  <c:v>239452.43</c:v>
                </c:pt>
                <c:pt idx="7">
                  <c:v>389667.08</c:v>
                </c:pt>
                <c:pt idx="8">
                  <c:v>390808.07</c:v>
                </c:pt>
                <c:pt idx="9">
                  <c:v>319000.11</c:v>
                </c:pt>
                <c:pt idx="10">
                  <c:v>305362.18</c:v>
                </c:pt>
                <c:pt idx="11">
                  <c:v>305000</c:v>
                </c:pt>
                <c:pt idx="12">
                  <c:v>317000</c:v>
                </c:pt>
              </c:numCache>
            </c:numRef>
          </c:val>
          <c:extLst>
            <c:ext xmlns:c16="http://schemas.microsoft.com/office/drawing/2014/chart" uri="{C3380CC4-5D6E-409C-BE32-E72D297353CC}">
              <c16:uniqueId val="{00000006-43EA-48D1-8AC0-C0FAE65E84C8}"/>
            </c:ext>
          </c:extLst>
        </c:ser>
        <c:dLbls>
          <c:showLegendKey val="0"/>
          <c:showVal val="0"/>
          <c:showCatName val="0"/>
          <c:showSerName val="0"/>
          <c:showPercent val="0"/>
          <c:showBubbleSize val="0"/>
        </c:dLbls>
        <c:gapWidth val="150"/>
        <c:overlap val="100"/>
        <c:axId val="1305613056"/>
        <c:axId val="1082587744"/>
      </c:barChart>
      <c:catAx>
        <c:axId val="13056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82587744"/>
        <c:crosses val="autoZero"/>
        <c:auto val="1"/>
        <c:lblAlgn val="ctr"/>
        <c:lblOffset val="100"/>
        <c:noMultiLvlLbl val="0"/>
      </c:catAx>
      <c:valAx>
        <c:axId val="108258774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05613056"/>
        <c:crosses val="autoZero"/>
        <c:crossBetween val="between"/>
      </c:valAx>
      <c:spPr>
        <a:noFill/>
        <a:ln>
          <a:noFill/>
        </a:ln>
        <a:effectLst/>
      </c:spPr>
    </c:plotArea>
    <c:legend>
      <c:legendPos val="r"/>
      <c:layout>
        <c:manualLayout>
          <c:xMode val="edge"/>
          <c:yMode val="edge"/>
          <c:x val="0.80357657793503012"/>
          <c:y val="7.3838862814253337E-2"/>
          <c:w val="0.19642344063479561"/>
          <c:h val="0.5648572815558485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 Defence spending!Pivot_Defence</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Defence spending'!$B$1:$B$2</c:f>
              <c:strCache>
                <c:ptCount val="1"/>
                <c:pt idx="0">
                  <c:v>Defence Services</c:v>
                </c:pt>
              </c:strCache>
            </c:strRef>
          </c:tx>
          <c:spPr>
            <a:solidFill>
              <a:schemeClr val="bg2">
                <a:lumMod val="50000"/>
              </a:schemeClr>
            </a:solidFill>
            <a:ln>
              <a:noFill/>
            </a:ln>
            <a:effectLst/>
          </c:spPr>
          <c:invertIfNegative val="0"/>
          <c:cat>
            <c:strRef>
              <c:f>' Defence spending'!$A$3:$A$15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 Defence spending'!$B$3:$B$15</c:f>
              <c:numCache>
                <c:formatCode>General</c:formatCode>
                <c:ptCount val="13"/>
                <c:pt idx="0">
                  <c:v>79125.05</c:v>
                </c:pt>
                <c:pt idx="1">
                  <c:v>81886.98</c:v>
                </c:pt>
                <c:pt idx="2">
                  <c:v>79958.320000000007</c:v>
                </c:pt>
                <c:pt idx="3">
                  <c:v>86370.92</c:v>
                </c:pt>
                <c:pt idx="4">
                  <c:v>90445.24</c:v>
                </c:pt>
                <c:pt idx="5">
                  <c:v>95230.59</c:v>
                </c:pt>
                <c:pt idx="6">
                  <c:v>111092.43</c:v>
                </c:pt>
                <c:pt idx="7">
                  <c:v>134304.92000000001</c:v>
                </c:pt>
                <c:pt idx="8">
                  <c:v>137986.97</c:v>
                </c:pt>
                <c:pt idx="9">
                  <c:v>142940.01</c:v>
                </c:pt>
                <c:pt idx="10">
                  <c:v>154256.28</c:v>
                </c:pt>
                <c:pt idx="11">
                  <c:v>159500</c:v>
                </c:pt>
                <c:pt idx="12">
                  <c:v>180000</c:v>
                </c:pt>
              </c:numCache>
            </c:numRef>
          </c:val>
          <c:extLst>
            <c:ext xmlns:c16="http://schemas.microsoft.com/office/drawing/2014/chart" uri="{C3380CC4-5D6E-409C-BE32-E72D297353CC}">
              <c16:uniqueId val="{00000000-6521-449A-BDD2-CC53149C0D98}"/>
            </c:ext>
          </c:extLst>
        </c:ser>
        <c:ser>
          <c:idx val="1"/>
          <c:order val="1"/>
          <c:tx>
            <c:strRef>
              <c:f>' Defence spending'!$C$1:$C$2</c:f>
              <c:strCache>
                <c:ptCount val="1"/>
                <c:pt idx="0">
                  <c:v>Air Force</c:v>
                </c:pt>
              </c:strCache>
            </c:strRef>
          </c:tx>
          <c:spPr>
            <a:solidFill>
              <a:schemeClr val="accent5">
                <a:lumMod val="40000"/>
                <a:lumOff val="60000"/>
              </a:schemeClr>
            </a:solidFill>
            <a:ln>
              <a:noFill/>
            </a:ln>
            <a:effectLst/>
          </c:spPr>
          <c:invertIfNegative val="0"/>
          <c:cat>
            <c:strRef>
              <c:f>' Defence spending'!$A$3:$A$15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 Defence spending'!$C$3:$C$15</c:f>
              <c:numCache>
                <c:formatCode>General</c:formatCode>
                <c:ptCount val="13"/>
                <c:pt idx="0">
                  <c:v>20160.27</c:v>
                </c:pt>
                <c:pt idx="1">
                  <c:v>22685.3</c:v>
                </c:pt>
                <c:pt idx="2">
                  <c:v>21848.9</c:v>
                </c:pt>
                <c:pt idx="3">
                  <c:v>25228.14</c:v>
                </c:pt>
                <c:pt idx="4">
                  <c:v>28418.799999999999</c:v>
                </c:pt>
                <c:pt idx="5">
                  <c:v>29370.54</c:v>
                </c:pt>
                <c:pt idx="6">
                  <c:v>31528.49</c:v>
                </c:pt>
                <c:pt idx="7">
                  <c:v>34615.96</c:v>
                </c:pt>
                <c:pt idx="8">
                  <c:v>35687.93</c:v>
                </c:pt>
                <c:pt idx="9">
                  <c:v>47455.55</c:v>
                </c:pt>
                <c:pt idx="10">
                  <c:v>54742.33</c:v>
                </c:pt>
                <c:pt idx="11">
                  <c:v>51876.77</c:v>
                </c:pt>
                <c:pt idx="12">
                  <c:v>55000</c:v>
                </c:pt>
              </c:numCache>
            </c:numRef>
          </c:val>
          <c:extLst>
            <c:ext xmlns:c16="http://schemas.microsoft.com/office/drawing/2014/chart" uri="{C3380CC4-5D6E-409C-BE32-E72D297353CC}">
              <c16:uniqueId val="{00000013-6521-449A-BDD2-CC53149C0D98}"/>
            </c:ext>
          </c:extLst>
        </c:ser>
        <c:ser>
          <c:idx val="2"/>
          <c:order val="2"/>
          <c:tx>
            <c:strRef>
              <c:f>' Defence spending'!$D$1:$D$2</c:f>
              <c:strCache>
                <c:ptCount val="1"/>
                <c:pt idx="0">
                  <c:v>Army</c:v>
                </c:pt>
              </c:strCache>
            </c:strRef>
          </c:tx>
          <c:spPr>
            <a:solidFill>
              <a:schemeClr val="accent6">
                <a:lumMod val="75000"/>
              </a:schemeClr>
            </a:solidFill>
            <a:ln>
              <a:noFill/>
            </a:ln>
            <a:effectLst/>
          </c:spPr>
          <c:invertIfNegative val="0"/>
          <c:cat>
            <c:strRef>
              <c:f>' Defence spending'!$A$3:$A$15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 Defence spending'!$D$3:$D$15</c:f>
              <c:numCache>
                <c:formatCode>General</c:formatCode>
                <c:ptCount val="13"/>
                <c:pt idx="0">
                  <c:v>87750.54</c:v>
                </c:pt>
                <c:pt idx="1">
                  <c:v>99321.39</c:v>
                </c:pt>
                <c:pt idx="2">
                  <c:v>105994.58</c:v>
                </c:pt>
                <c:pt idx="3">
                  <c:v>120374.48</c:v>
                </c:pt>
                <c:pt idx="4">
                  <c:v>135362.35999999999</c:v>
                </c:pt>
                <c:pt idx="5">
                  <c:v>141829.60999999999</c:v>
                </c:pt>
                <c:pt idx="6">
                  <c:v>146821.92000000001</c:v>
                </c:pt>
                <c:pt idx="7">
                  <c:v>145181.03</c:v>
                </c:pt>
                <c:pt idx="8">
                  <c:v>161728.26999999999</c:v>
                </c:pt>
                <c:pt idx="9">
                  <c:v>175666.05</c:v>
                </c:pt>
                <c:pt idx="10">
                  <c:v>197020.12</c:v>
                </c:pt>
                <c:pt idx="11">
                  <c:v>204628.97</c:v>
                </c:pt>
                <c:pt idx="12">
                  <c:v>212030.78</c:v>
                </c:pt>
              </c:numCache>
            </c:numRef>
          </c:val>
          <c:extLst>
            <c:ext xmlns:c16="http://schemas.microsoft.com/office/drawing/2014/chart" uri="{C3380CC4-5D6E-409C-BE32-E72D297353CC}">
              <c16:uniqueId val="{00000014-6521-449A-BDD2-CC53149C0D98}"/>
            </c:ext>
          </c:extLst>
        </c:ser>
        <c:ser>
          <c:idx val="3"/>
          <c:order val="3"/>
          <c:tx>
            <c:strRef>
              <c:f>' Defence spending'!$E$1:$E$2</c:f>
              <c:strCache>
                <c:ptCount val="1"/>
                <c:pt idx="0">
                  <c:v>Navy</c:v>
                </c:pt>
              </c:strCache>
            </c:strRef>
          </c:tx>
          <c:spPr>
            <a:solidFill>
              <a:schemeClr val="accent1">
                <a:lumMod val="50000"/>
              </a:schemeClr>
            </a:solidFill>
            <a:ln>
              <a:noFill/>
            </a:ln>
            <a:effectLst/>
          </c:spPr>
          <c:invertIfNegative val="0"/>
          <c:cat>
            <c:strRef>
              <c:f>' Defence spending'!$A$3:$A$15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 Defence spending'!$E$3:$E$15</c:f>
              <c:numCache>
                <c:formatCode>General</c:formatCode>
                <c:ptCount val="13"/>
                <c:pt idx="0">
                  <c:v>13472.26</c:v>
                </c:pt>
                <c:pt idx="1">
                  <c:v>14352</c:v>
                </c:pt>
                <c:pt idx="2">
                  <c:v>15320.81</c:v>
                </c:pt>
                <c:pt idx="3">
                  <c:v>17469.27</c:v>
                </c:pt>
                <c:pt idx="4">
                  <c:v>19344.87</c:v>
                </c:pt>
                <c:pt idx="5">
                  <c:v>21738.880000000001</c:v>
                </c:pt>
                <c:pt idx="6">
                  <c:v>23087.69</c:v>
                </c:pt>
                <c:pt idx="7">
                  <c:v>24710.34</c:v>
                </c:pt>
                <c:pt idx="8">
                  <c:v>24426.52</c:v>
                </c:pt>
                <c:pt idx="9">
                  <c:v>31343.599999999999</c:v>
                </c:pt>
                <c:pt idx="10">
                  <c:v>35147.800000000003</c:v>
                </c:pt>
                <c:pt idx="11">
                  <c:v>36557.31</c:v>
                </c:pt>
                <c:pt idx="12">
                  <c:v>39019.800000000003</c:v>
                </c:pt>
              </c:numCache>
            </c:numRef>
          </c:val>
          <c:extLst>
            <c:ext xmlns:c16="http://schemas.microsoft.com/office/drawing/2014/chart" uri="{C3380CC4-5D6E-409C-BE32-E72D297353CC}">
              <c16:uniqueId val="{00000015-6521-449A-BDD2-CC53149C0D98}"/>
            </c:ext>
          </c:extLst>
        </c:ser>
        <c:ser>
          <c:idx val="4"/>
          <c:order val="4"/>
          <c:tx>
            <c:strRef>
              <c:f>' Defence spending'!$F$1:$F$2</c:f>
              <c:strCache>
                <c:ptCount val="1"/>
                <c:pt idx="0">
                  <c:v>R&amp;D</c:v>
                </c:pt>
              </c:strCache>
            </c:strRef>
          </c:tx>
          <c:spPr>
            <a:solidFill>
              <a:schemeClr val="accent2"/>
            </a:solidFill>
            <a:ln>
              <a:noFill/>
            </a:ln>
            <a:effectLst/>
          </c:spPr>
          <c:invertIfNegative val="0"/>
          <c:cat>
            <c:strRef>
              <c:f>' Defence spending'!$A$3:$A$15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 Defence spending'!$F$3:$F$15</c:f>
              <c:numCache>
                <c:formatCode>General</c:formatCode>
                <c:ptCount val="13"/>
                <c:pt idx="0">
                  <c:v>5696.32</c:v>
                </c:pt>
                <c:pt idx="1">
                  <c:v>6237.08</c:v>
                </c:pt>
                <c:pt idx="2">
                  <c:v>6183.9</c:v>
                </c:pt>
                <c:pt idx="3">
                  <c:v>6963.69</c:v>
                </c:pt>
                <c:pt idx="4">
                  <c:v>8033.79</c:v>
                </c:pt>
                <c:pt idx="5">
                  <c:v>8431.44</c:v>
                </c:pt>
                <c:pt idx="6">
                  <c:v>9086.14</c:v>
                </c:pt>
                <c:pt idx="7">
                  <c:v>8350.77</c:v>
                </c:pt>
                <c:pt idx="8">
                  <c:v>8406.2199999999993</c:v>
                </c:pt>
                <c:pt idx="9">
                  <c:v>9407.7900000000009</c:v>
                </c:pt>
                <c:pt idx="10">
                  <c:v>10427.48</c:v>
                </c:pt>
                <c:pt idx="11">
                  <c:v>11330.01</c:v>
                </c:pt>
                <c:pt idx="12">
                  <c:v>12193</c:v>
                </c:pt>
              </c:numCache>
            </c:numRef>
          </c:val>
          <c:extLst>
            <c:ext xmlns:c16="http://schemas.microsoft.com/office/drawing/2014/chart" uri="{C3380CC4-5D6E-409C-BE32-E72D297353CC}">
              <c16:uniqueId val="{00000017-6521-449A-BDD2-CC53149C0D98}"/>
            </c:ext>
          </c:extLst>
        </c:ser>
        <c:dLbls>
          <c:showLegendKey val="0"/>
          <c:showVal val="0"/>
          <c:showCatName val="0"/>
          <c:showSerName val="0"/>
          <c:showPercent val="0"/>
          <c:showBubbleSize val="0"/>
        </c:dLbls>
        <c:gapWidth val="150"/>
        <c:overlap val="100"/>
        <c:axId val="759492591"/>
        <c:axId val="759501327"/>
      </c:barChart>
      <c:catAx>
        <c:axId val="75949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59501327"/>
        <c:crosses val="autoZero"/>
        <c:auto val="1"/>
        <c:lblAlgn val="ctr"/>
        <c:lblOffset val="100"/>
        <c:noMultiLvlLbl val="0"/>
      </c:catAx>
      <c:valAx>
        <c:axId val="75950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92591"/>
        <c:crosses val="autoZero"/>
        <c:crossBetween val="between"/>
      </c:valAx>
      <c:spPr>
        <a:noFill/>
        <a:ln>
          <a:noFill/>
        </a:ln>
        <a:effectLst/>
      </c:spPr>
    </c:plotArea>
    <c:legend>
      <c:legendPos val="r"/>
      <c:layout>
        <c:manualLayout>
          <c:xMode val="edge"/>
          <c:yMode val="edge"/>
          <c:x val="0.82286940552647792"/>
          <c:y val="9.5710303143605971E-2"/>
          <c:w val="0.16433403978625255"/>
          <c:h val="0.8423635597017948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Proj.xlsx]Capital Expenditure breakdown!Pivot_CapEx</c:name>
    <c:fmtId val="1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7030A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87055675589809E-2"/>
          <c:y val="0.12924961221452799"/>
          <c:w val="0.64567346408445592"/>
          <c:h val="0.77730489646475931"/>
        </c:manualLayout>
      </c:layout>
      <c:areaChart>
        <c:grouping val="stacked"/>
        <c:varyColors val="0"/>
        <c:ser>
          <c:idx val="0"/>
          <c:order val="0"/>
          <c:tx>
            <c:strRef>
              <c:f>'Capital Expenditure breakdown'!$B$3:$B$5</c:f>
              <c:strCache>
                <c:ptCount val="1"/>
                <c:pt idx="0">
                  <c:v>Capital Expenditure - Economic Services</c:v>
                </c:pt>
              </c:strCache>
            </c:strRef>
          </c:tx>
          <c:spPr>
            <a:solidFill>
              <a:schemeClr val="accent1"/>
            </a:solidFill>
            <a:ln>
              <a:noFill/>
            </a:ln>
            <a:effectLst/>
          </c:spPr>
          <c:cat>
            <c:strRef>
              <c:f>'Capital Expenditure breakdown'!$A$6:$A$18</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'Capital Expenditure breakdown'!$B$6:$B$18</c:f>
              <c:numCache>
                <c:formatCode>General</c:formatCode>
                <c:ptCount val="13"/>
                <c:pt idx="0">
                  <c:v>213379.83000000002</c:v>
                </c:pt>
                <c:pt idx="1">
                  <c:v>209263.81</c:v>
                </c:pt>
                <c:pt idx="2">
                  <c:v>450985.07</c:v>
                </c:pt>
                <c:pt idx="3">
                  <c:v>400976.72</c:v>
                </c:pt>
                <c:pt idx="4">
                  <c:v>595292.47</c:v>
                </c:pt>
                <c:pt idx="5">
                  <c:v>781370.21</c:v>
                </c:pt>
                <c:pt idx="6">
                  <c:v>708946.87</c:v>
                </c:pt>
                <c:pt idx="7">
                  <c:v>532931.15</c:v>
                </c:pt>
                <c:pt idx="8">
                  <c:v>1059245.2999999998</c:v>
                </c:pt>
                <c:pt idx="9">
                  <c:v>1208979.94</c:v>
                </c:pt>
                <c:pt idx="10">
                  <c:v>1697221.53</c:v>
                </c:pt>
                <c:pt idx="11">
                  <c:v>1720934.7900000003</c:v>
                </c:pt>
                <c:pt idx="12">
                  <c:v>1899102.3800000001</c:v>
                </c:pt>
              </c:numCache>
            </c:numRef>
          </c:val>
          <c:extLst>
            <c:ext xmlns:c16="http://schemas.microsoft.com/office/drawing/2014/chart" uri="{C3380CC4-5D6E-409C-BE32-E72D297353CC}">
              <c16:uniqueId val="{00000000-1AA4-448B-BBBB-C5BD24AD89F0}"/>
            </c:ext>
          </c:extLst>
        </c:ser>
        <c:ser>
          <c:idx val="1"/>
          <c:order val="1"/>
          <c:tx>
            <c:strRef>
              <c:f>'Capital Expenditure breakdown'!$C$3:$C$5</c:f>
              <c:strCache>
                <c:ptCount val="1"/>
                <c:pt idx="0">
                  <c:v>Capital Expenditure - General Services</c:v>
                </c:pt>
              </c:strCache>
            </c:strRef>
          </c:tx>
          <c:spPr>
            <a:solidFill>
              <a:schemeClr val="accent2"/>
            </a:solidFill>
            <a:ln w="25400">
              <a:noFill/>
            </a:ln>
            <a:effectLst/>
          </c:spPr>
          <c:cat>
            <c:strRef>
              <c:f>'Capital Expenditure breakdown'!$A$6:$A$18</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'Capital Expenditure breakdown'!$C$6:$C$18</c:f>
              <c:numCache>
                <c:formatCode>General</c:formatCode>
                <c:ptCount val="13"/>
                <c:pt idx="0">
                  <c:v>167025.27000000002</c:v>
                </c:pt>
                <c:pt idx="1">
                  <c:v>171882.23999999999</c:v>
                </c:pt>
                <c:pt idx="2">
                  <c:v>171420.58000000002</c:v>
                </c:pt>
                <c:pt idx="3">
                  <c:v>185553.97</c:v>
                </c:pt>
                <c:pt idx="4">
                  <c:v>196798</c:v>
                </c:pt>
                <c:pt idx="5">
                  <c:v>208151.97999999998</c:v>
                </c:pt>
                <c:pt idx="6">
                  <c:v>235899.84999999998</c:v>
                </c:pt>
                <c:pt idx="7">
                  <c:v>277050.57</c:v>
                </c:pt>
                <c:pt idx="8">
                  <c:v>291763.87</c:v>
                </c:pt>
                <c:pt idx="9">
                  <c:v>304127.5</c:v>
                </c:pt>
                <c:pt idx="10">
                  <c:v>331743.93</c:v>
                </c:pt>
                <c:pt idx="11">
                  <c:v>342091.24</c:v>
                </c:pt>
                <c:pt idx="12">
                  <c:v>389088.88</c:v>
                </c:pt>
              </c:numCache>
            </c:numRef>
          </c:val>
          <c:extLst>
            <c:ext xmlns:c16="http://schemas.microsoft.com/office/drawing/2014/chart" uri="{C3380CC4-5D6E-409C-BE32-E72D297353CC}">
              <c16:uniqueId val="{00000007-1AA4-448B-BBBB-C5BD24AD89F0}"/>
            </c:ext>
          </c:extLst>
        </c:ser>
        <c:ser>
          <c:idx val="2"/>
          <c:order val="2"/>
          <c:tx>
            <c:strRef>
              <c:f>'Capital Expenditure breakdown'!$D$3:$D$5</c:f>
              <c:strCache>
                <c:ptCount val="1"/>
                <c:pt idx="0">
                  <c:v>Capital Expenditure - Social Services</c:v>
                </c:pt>
              </c:strCache>
            </c:strRef>
          </c:tx>
          <c:spPr>
            <a:solidFill>
              <a:srgbClr val="7030A0"/>
            </a:solidFill>
            <a:ln w="25400">
              <a:noFill/>
            </a:ln>
            <a:effectLst/>
          </c:spPr>
          <c:cat>
            <c:strRef>
              <c:f>'Capital Expenditure breakdown'!$A$6:$A$18</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'Capital Expenditure breakdown'!$D$6:$D$18</c:f>
              <c:numCache>
                <c:formatCode>General</c:formatCode>
                <c:ptCount val="13"/>
                <c:pt idx="0">
                  <c:v>3386.56</c:v>
                </c:pt>
                <c:pt idx="1">
                  <c:v>4347.51</c:v>
                </c:pt>
                <c:pt idx="2">
                  <c:v>4903.24</c:v>
                </c:pt>
                <c:pt idx="3">
                  <c:v>4537.33</c:v>
                </c:pt>
                <c:pt idx="4">
                  <c:v>8749.6</c:v>
                </c:pt>
                <c:pt idx="5">
                  <c:v>9148.85</c:v>
                </c:pt>
                <c:pt idx="6">
                  <c:v>9492.19</c:v>
                </c:pt>
                <c:pt idx="7">
                  <c:v>7109.9</c:v>
                </c:pt>
                <c:pt idx="8">
                  <c:v>9445.11</c:v>
                </c:pt>
                <c:pt idx="9">
                  <c:v>12166.45</c:v>
                </c:pt>
                <c:pt idx="10">
                  <c:v>8587.4500000000007</c:v>
                </c:pt>
                <c:pt idx="11">
                  <c:v>11503.31</c:v>
                </c:pt>
                <c:pt idx="12">
                  <c:v>11186.3</c:v>
                </c:pt>
              </c:numCache>
            </c:numRef>
          </c:val>
          <c:extLst>
            <c:ext xmlns:c16="http://schemas.microsoft.com/office/drawing/2014/chart" uri="{C3380CC4-5D6E-409C-BE32-E72D297353CC}">
              <c16:uniqueId val="{00000009-1AA4-448B-BBBB-C5BD24AD89F0}"/>
            </c:ext>
          </c:extLst>
        </c:ser>
        <c:dLbls>
          <c:showLegendKey val="0"/>
          <c:showVal val="0"/>
          <c:showCatName val="0"/>
          <c:showSerName val="0"/>
          <c:showPercent val="0"/>
          <c:showBubbleSize val="0"/>
        </c:dLbls>
        <c:axId val="1608517775"/>
        <c:axId val="1608518607"/>
      </c:areaChart>
      <c:catAx>
        <c:axId val="1608517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18607"/>
        <c:crosses val="autoZero"/>
        <c:auto val="1"/>
        <c:lblAlgn val="ctr"/>
        <c:lblOffset val="100"/>
        <c:noMultiLvlLbl val="0"/>
      </c:catAx>
      <c:valAx>
        <c:axId val="160851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17775"/>
        <c:crosses val="autoZero"/>
        <c:crossBetween val="midCat"/>
      </c:valAx>
      <c:spPr>
        <a:noFill/>
        <a:ln>
          <a:noFill/>
        </a:ln>
        <a:effectLst/>
      </c:spPr>
    </c:plotArea>
    <c:legend>
      <c:legendPos val="r"/>
      <c:layout>
        <c:manualLayout>
          <c:xMode val="edge"/>
          <c:yMode val="edge"/>
          <c:x val="0.7544504822674849"/>
          <c:y val="0.39733965257161113"/>
          <c:w val="0.2344839403910999"/>
          <c:h val="0.358788885486677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400" b="0" i="0" u="none" strike="noStrike" kern="1200" spc="0" baseline="0">
                <a:solidFill>
                  <a:srgbClr val="002060"/>
                </a:solidFill>
                <a:latin typeface="+mn-lt"/>
                <a:ea typeface="+mn-ea"/>
                <a:cs typeface="+mn-cs"/>
              </a:defRPr>
            </a:pPr>
            <a:r>
              <a:rPr lang="en-IN" sz="2400" b="1" i="0" u="none" strike="noStrike" baseline="0">
                <a:solidFill>
                  <a:srgbClr val="002060"/>
                </a:solidFill>
              </a:rPr>
              <a:t>Public Debt Borrowing vs Repayment </a:t>
            </a:r>
            <a:endParaRPr lang="en-IN" sz="2400" b="1">
              <a:solidFill>
                <a:srgbClr val="002060"/>
              </a:solidFill>
            </a:endParaRPr>
          </a:p>
        </c:rich>
      </c:tx>
      <c:layout>
        <c:manualLayout>
          <c:xMode val="edge"/>
          <c:yMode val="edge"/>
          <c:x val="0.2390936796766204"/>
          <c:y val="1.4745671990460596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debt!$N$4</c:f>
              <c:strCache>
                <c:ptCount val="1"/>
                <c:pt idx="0">
                  <c:v>Total Public Debt</c:v>
                </c:pt>
              </c:strCache>
            </c:strRef>
          </c:tx>
          <c:spPr>
            <a:solidFill>
              <a:schemeClr val="accent1"/>
            </a:solidFill>
            <a:ln>
              <a:noFill/>
            </a:ln>
            <a:effectLst/>
          </c:spPr>
          <c:invertIfNegative val="0"/>
          <c:cat>
            <c:strRef>
              <c:f>debt!$M$5:$M$17</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debt!$N$5:$N$17</c:f>
              <c:numCache>
                <c:formatCode>#,##0</c:formatCode>
                <c:ptCount val="13"/>
                <c:pt idx="0">
                  <c:v>3994966</c:v>
                </c:pt>
                <c:pt idx="1">
                  <c:v>4218196</c:v>
                </c:pt>
                <c:pt idx="2">
                  <c:v>4316950</c:v>
                </c:pt>
                <c:pt idx="3">
                  <c:v>6134137</c:v>
                </c:pt>
                <c:pt idx="4">
                  <c:v>6554002</c:v>
                </c:pt>
                <c:pt idx="5">
                  <c:v>6758482</c:v>
                </c:pt>
                <c:pt idx="6">
                  <c:v>7301387</c:v>
                </c:pt>
                <c:pt idx="7">
                  <c:v>8162910</c:v>
                </c:pt>
                <c:pt idx="8">
                  <c:v>8249152</c:v>
                </c:pt>
                <c:pt idx="9">
                  <c:v>8864893</c:v>
                </c:pt>
                <c:pt idx="10">
                  <c:v>9160050</c:v>
                </c:pt>
                <c:pt idx="11">
                  <c:v>9693665</c:v>
                </c:pt>
                <c:pt idx="12">
                  <c:v>10566349</c:v>
                </c:pt>
              </c:numCache>
            </c:numRef>
          </c:val>
          <c:extLst>
            <c:ext xmlns:c16="http://schemas.microsoft.com/office/drawing/2014/chart" uri="{C3380CC4-5D6E-409C-BE32-E72D297353CC}">
              <c16:uniqueId val="{00000000-1B9A-4543-9086-E9BAB2922D46}"/>
            </c:ext>
          </c:extLst>
        </c:ser>
        <c:ser>
          <c:idx val="1"/>
          <c:order val="1"/>
          <c:tx>
            <c:strRef>
              <c:f>debt!$O$4</c:f>
              <c:strCache>
                <c:ptCount val="1"/>
                <c:pt idx="0">
                  <c:v>Total Public Debt Repayment</c:v>
                </c:pt>
              </c:strCache>
            </c:strRef>
          </c:tx>
          <c:spPr>
            <a:solidFill>
              <a:schemeClr val="accent2"/>
            </a:solidFill>
            <a:ln>
              <a:noFill/>
            </a:ln>
            <a:effectLst/>
          </c:spPr>
          <c:invertIfNegative val="0"/>
          <c:cat>
            <c:strRef>
              <c:f>debt!$M$5:$M$17</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debt!$O$5:$O$17</c:f>
              <c:numCache>
                <c:formatCode>#,##0</c:formatCode>
                <c:ptCount val="13"/>
                <c:pt idx="0">
                  <c:v>3511291</c:v>
                </c:pt>
                <c:pt idx="1">
                  <c:v>3707700</c:v>
                </c:pt>
                <c:pt idx="2">
                  <c:v>3737657</c:v>
                </c:pt>
                <c:pt idx="3">
                  <c:v>5678823</c:v>
                </c:pt>
                <c:pt idx="4">
                  <c:v>5872605</c:v>
                </c:pt>
                <c:pt idx="5">
                  <c:v>6064945</c:v>
                </c:pt>
                <c:pt idx="6">
                  <c:v>6326549</c:v>
                </c:pt>
                <c:pt idx="7">
                  <c:v>6184635</c:v>
                </c:pt>
                <c:pt idx="8">
                  <c:v>6645468</c:v>
                </c:pt>
                <c:pt idx="9">
                  <c:v>7199701</c:v>
                </c:pt>
                <c:pt idx="10">
                  <c:v>7462493</c:v>
                </c:pt>
                <c:pt idx="11">
                  <c:v>8407558</c:v>
                </c:pt>
                <c:pt idx="12">
                  <c:v>9038648</c:v>
                </c:pt>
              </c:numCache>
            </c:numRef>
          </c:val>
          <c:extLst>
            <c:ext xmlns:c16="http://schemas.microsoft.com/office/drawing/2014/chart" uri="{C3380CC4-5D6E-409C-BE32-E72D297353CC}">
              <c16:uniqueId val="{00000001-1B9A-4543-9086-E9BAB2922D46}"/>
            </c:ext>
          </c:extLst>
        </c:ser>
        <c:dLbls>
          <c:showLegendKey val="0"/>
          <c:showVal val="0"/>
          <c:showCatName val="0"/>
          <c:showSerName val="0"/>
          <c:showPercent val="0"/>
          <c:showBubbleSize val="0"/>
        </c:dLbls>
        <c:gapWidth val="219"/>
        <c:overlap val="-27"/>
        <c:axId val="1858133359"/>
        <c:axId val="1858133775"/>
      </c:barChart>
      <c:lineChart>
        <c:grouping val="standard"/>
        <c:varyColors val="0"/>
        <c:ser>
          <c:idx val="2"/>
          <c:order val="2"/>
          <c:tx>
            <c:strRef>
              <c:f>debt!$P$4</c:f>
              <c:strCache>
                <c:ptCount val="1"/>
                <c:pt idx="0">
                  <c:v>Net New Debt</c:v>
                </c:pt>
              </c:strCache>
            </c:strRef>
          </c:tx>
          <c:spPr>
            <a:ln w="28575" cap="rnd">
              <a:solidFill>
                <a:srgbClr val="C00000"/>
              </a:solidFill>
              <a:round/>
            </a:ln>
            <a:effectLst/>
          </c:spPr>
          <c:marker>
            <c:symbol val="none"/>
          </c:marker>
          <c:cat>
            <c:strRef>
              <c:f>debt!$M$5:$M$17</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debt!$P$5:$P$17</c:f>
              <c:numCache>
                <c:formatCode>#,##0</c:formatCode>
                <c:ptCount val="13"/>
                <c:pt idx="0">
                  <c:v>483675</c:v>
                </c:pt>
                <c:pt idx="1">
                  <c:v>510496</c:v>
                </c:pt>
                <c:pt idx="2">
                  <c:v>579293</c:v>
                </c:pt>
                <c:pt idx="3">
                  <c:v>455314</c:v>
                </c:pt>
                <c:pt idx="4">
                  <c:v>681397</c:v>
                </c:pt>
                <c:pt idx="5">
                  <c:v>693537</c:v>
                </c:pt>
                <c:pt idx="6">
                  <c:v>974838</c:v>
                </c:pt>
                <c:pt idx="7">
                  <c:v>1978275</c:v>
                </c:pt>
                <c:pt idx="8">
                  <c:v>1603684</c:v>
                </c:pt>
                <c:pt idx="9">
                  <c:v>1665192</c:v>
                </c:pt>
                <c:pt idx="10">
                  <c:v>1697557</c:v>
                </c:pt>
                <c:pt idx="11">
                  <c:v>1286107</c:v>
                </c:pt>
                <c:pt idx="12">
                  <c:v>1527701</c:v>
                </c:pt>
              </c:numCache>
            </c:numRef>
          </c:val>
          <c:smooth val="0"/>
          <c:extLst>
            <c:ext xmlns:c16="http://schemas.microsoft.com/office/drawing/2014/chart" uri="{C3380CC4-5D6E-409C-BE32-E72D297353CC}">
              <c16:uniqueId val="{00000002-1B9A-4543-9086-E9BAB2922D46}"/>
            </c:ext>
          </c:extLst>
        </c:ser>
        <c:dLbls>
          <c:showLegendKey val="0"/>
          <c:showVal val="0"/>
          <c:showCatName val="0"/>
          <c:showSerName val="0"/>
          <c:showPercent val="0"/>
          <c:showBubbleSize val="0"/>
        </c:dLbls>
        <c:marker val="1"/>
        <c:smooth val="0"/>
        <c:axId val="1858131279"/>
        <c:axId val="1858137103"/>
      </c:lineChart>
      <c:catAx>
        <c:axId val="185813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33775"/>
        <c:crosses val="autoZero"/>
        <c:auto val="1"/>
        <c:lblAlgn val="ctr"/>
        <c:lblOffset val="100"/>
        <c:noMultiLvlLbl val="0"/>
      </c:catAx>
      <c:valAx>
        <c:axId val="185813377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gt;=1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3335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858137103"/>
        <c:scaling>
          <c:orientation val="minMax"/>
        </c:scaling>
        <c:delete val="0"/>
        <c:axPos val="r"/>
        <c:numFmt formatCode="[&gt;=10000000]##\,##\,##\,##0;[&gt;=10000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31279"/>
        <c:crosses val="max"/>
        <c:crossBetween val="between"/>
      </c:valAx>
      <c:catAx>
        <c:axId val="1858131279"/>
        <c:scaling>
          <c:orientation val="minMax"/>
        </c:scaling>
        <c:delete val="1"/>
        <c:axPos val="b"/>
        <c:numFmt formatCode="General" sourceLinked="1"/>
        <c:majorTickMark val="out"/>
        <c:minorTickMark val="none"/>
        <c:tickLblPos val="nextTo"/>
        <c:crossAx val="18581371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 lastClr="FFFFFF"/>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 Proj.xlsx]debt!Pivot_Debt</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pivotFmt>
      <c:pivotFmt>
        <c:idx val="1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9198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19198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19198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debt!$B$4:$B$6</c:f>
              <c:strCache>
                <c:ptCount val="1"/>
                <c:pt idx="0">
                  <c:v>Capital Receipts - 182 Days Treasury Bills</c:v>
                </c:pt>
              </c:strCache>
            </c:strRef>
          </c:tx>
          <c:spPr>
            <a:solidFill>
              <a:srgbClr val="7030A0"/>
            </a:solidFill>
            <a:ln>
              <a:noFill/>
            </a:ln>
            <a:effectLst/>
          </c:spPr>
          <c:invertIfNegative val="0"/>
          <c:cat>
            <c:strRef>
              <c:f>debt!$A$7:$A$19</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debt!$B$7:$B$19</c:f>
              <c:numCache>
                <c:formatCode>General</c:formatCode>
                <c:ptCount val="13"/>
                <c:pt idx="0">
                  <c:v>137520.26</c:v>
                </c:pt>
                <c:pt idx="1">
                  <c:v>147608.18</c:v>
                </c:pt>
                <c:pt idx="2">
                  <c:v>162188.60999999999</c:v>
                </c:pt>
                <c:pt idx="3">
                  <c:v>174035.07</c:v>
                </c:pt>
                <c:pt idx="4">
                  <c:v>185416.61</c:v>
                </c:pt>
                <c:pt idx="5">
                  <c:v>258020.06</c:v>
                </c:pt>
                <c:pt idx="6">
                  <c:v>321689.3</c:v>
                </c:pt>
                <c:pt idx="7">
                  <c:v>488606.87</c:v>
                </c:pt>
                <c:pt idx="8">
                  <c:v>465678.81</c:v>
                </c:pt>
                <c:pt idx="9">
                  <c:v>549240.87</c:v>
                </c:pt>
                <c:pt idx="10">
                  <c:v>571191.61</c:v>
                </c:pt>
                <c:pt idx="11">
                  <c:v>394007.06</c:v>
                </c:pt>
                <c:pt idx="12">
                  <c:v>484082.34</c:v>
                </c:pt>
              </c:numCache>
            </c:numRef>
          </c:val>
          <c:extLst>
            <c:ext xmlns:c16="http://schemas.microsoft.com/office/drawing/2014/chart" uri="{C3380CC4-5D6E-409C-BE32-E72D297353CC}">
              <c16:uniqueId val="{00000000-BD77-45BE-865C-1B99D779278E}"/>
            </c:ext>
          </c:extLst>
        </c:ser>
        <c:ser>
          <c:idx val="1"/>
          <c:order val="1"/>
          <c:tx>
            <c:strRef>
              <c:f>debt!$C$4:$C$6</c:f>
              <c:strCache>
                <c:ptCount val="1"/>
                <c:pt idx="0">
                  <c:v>Capital Receipts - 364 Days Treasury Bills</c:v>
                </c:pt>
              </c:strCache>
            </c:strRef>
          </c:tx>
          <c:spPr>
            <a:solidFill>
              <a:schemeClr val="accent2"/>
            </a:solidFill>
            <a:ln>
              <a:noFill/>
            </a:ln>
            <a:effectLst/>
          </c:spPr>
          <c:invertIfNegative val="0"/>
          <c:cat>
            <c:strRef>
              <c:f>debt!$A$7:$A$19</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debt!$C$7:$C$19</c:f>
              <c:numCache>
                <c:formatCode>General</c:formatCode>
                <c:ptCount val="13"/>
                <c:pt idx="0">
                  <c:v>136956.26</c:v>
                </c:pt>
                <c:pt idx="1">
                  <c:v>149200.68</c:v>
                </c:pt>
                <c:pt idx="2">
                  <c:v>154033.20000000001</c:v>
                </c:pt>
                <c:pt idx="3">
                  <c:v>142525.75</c:v>
                </c:pt>
                <c:pt idx="4">
                  <c:v>159685</c:v>
                </c:pt>
                <c:pt idx="5">
                  <c:v>208896</c:v>
                </c:pt>
                <c:pt idx="6">
                  <c:v>217670</c:v>
                </c:pt>
                <c:pt idx="7">
                  <c:v>458240</c:v>
                </c:pt>
                <c:pt idx="8">
                  <c:v>407796.43</c:v>
                </c:pt>
                <c:pt idx="9">
                  <c:v>445283.5</c:v>
                </c:pt>
                <c:pt idx="10">
                  <c:v>457486.99</c:v>
                </c:pt>
                <c:pt idx="11">
                  <c:v>360809.92</c:v>
                </c:pt>
                <c:pt idx="12">
                  <c:v>360809.92</c:v>
                </c:pt>
              </c:numCache>
            </c:numRef>
          </c:val>
          <c:extLst>
            <c:ext xmlns:c16="http://schemas.microsoft.com/office/drawing/2014/chart" uri="{C3380CC4-5D6E-409C-BE32-E72D297353CC}">
              <c16:uniqueId val="{00000001-BD77-45BE-865C-1B99D779278E}"/>
            </c:ext>
          </c:extLst>
        </c:ser>
        <c:ser>
          <c:idx val="2"/>
          <c:order val="2"/>
          <c:tx>
            <c:strRef>
              <c:f>debt!$D$4:$D$6</c:f>
              <c:strCache>
                <c:ptCount val="1"/>
                <c:pt idx="0">
                  <c:v>Capital Receipts - 91 Days Treasury Bills</c:v>
                </c:pt>
              </c:strCache>
            </c:strRef>
          </c:tx>
          <c:spPr>
            <a:solidFill>
              <a:srgbClr val="00B050"/>
            </a:solidFill>
            <a:ln>
              <a:noFill/>
            </a:ln>
            <a:effectLst/>
          </c:spPr>
          <c:invertIfNegative val="0"/>
          <c:cat>
            <c:strRef>
              <c:f>debt!$A$7:$A$19</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debt!$D$7:$D$19</c:f>
              <c:numCache>
                <c:formatCode>General</c:formatCode>
                <c:ptCount val="13"/>
                <c:pt idx="0">
                  <c:v>580087.59</c:v>
                </c:pt>
                <c:pt idx="1">
                  <c:v>670312.98</c:v>
                </c:pt>
                <c:pt idx="2">
                  <c:v>686666.71</c:v>
                </c:pt>
                <c:pt idx="3">
                  <c:v>664567.49</c:v>
                </c:pt>
                <c:pt idx="4">
                  <c:v>774059.95</c:v>
                </c:pt>
                <c:pt idx="5">
                  <c:v>660165.24</c:v>
                </c:pt>
                <c:pt idx="6">
                  <c:v>639472.68000000005</c:v>
                </c:pt>
                <c:pt idx="7">
                  <c:v>743488.03</c:v>
                </c:pt>
                <c:pt idx="8">
                  <c:v>847904.18</c:v>
                </c:pt>
                <c:pt idx="9">
                  <c:v>715950.53</c:v>
                </c:pt>
                <c:pt idx="10">
                  <c:v>644427.47</c:v>
                </c:pt>
                <c:pt idx="11">
                  <c:v>747644.75</c:v>
                </c:pt>
                <c:pt idx="12">
                  <c:v>606191.25</c:v>
                </c:pt>
              </c:numCache>
            </c:numRef>
          </c:val>
          <c:extLst>
            <c:ext xmlns:c16="http://schemas.microsoft.com/office/drawing/2014/chart" uri="{C3380CC4-5D6E-409C-BE32-E72D297353CC}">
              <c16:uniqueId val="{00000002-BD77-45BE-865C-1B99D779278E}"/>
            </c:ext>
          </c:extLst>
        </c:ser>
        <c:ser>
          <c:idx val="3"/>
          <c:order val="3"/>
          <c:tx>
            <c:strRef>
              <c:f>debt!$E$4:$E$6</c:f>
              <c:strCache>
                <c:ptCount val="1"/>
                <c:pt idx="0">
                  <c:v>Capital Receipts - External Debt</c:v>
                </c:pt>
              </c:strCache>
            </c:strRef>
          </c:tx>
          <c:spPr>
            <a:solidFill>
              <a:srgbClr val="C00000"/>
            </a:solidFill>
            <a:ln>
              <a:noFill/>
            </a:ln>
            <a:effectLst/>
          </c:spPr>
          <c:invertIfNegative val="0"/>
          <c:cat>
            <c:strRef>
              <c:f>debt!$A$7:$A$19</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debt!$E$7:$E$19</c:f>
              <c:numCache>
                <c:formatCode>General</c:formatCode>
                <c:ptCount val="13"/>
                <c:pt idx="0">
                  <c:v>25416.23</c:v>
                </c:pt>
                <c:pt idx="1">
                  <c:v>33533.89</c:v>
                </c:pt>
                <c:pt idx="2">
                  <c:v>36053.72</c:v>
                </c:pt>
                <c:pt idx="3">
                  <c:v>44191.49</c:v>
                </c:pt>
                <c:pt idx="4">
                  <c:v>48516.74</c:v>
                </c:pt>
                <c:pt idx="5">
                  <c:v>50609.440000000002</c:v>
                </c:pt>
                <c:pt idx="6">
                  <c:v>63180.3</c:v>
                </c:pt>
                <c:pt idx="7">
                  <c:v>123937.57</c:v>
                </c:pt>
                <c:pt idx="8">
                  <c:v>86664.57</c:v>
                </c:pt>
                <c:pt idx="9">
                  <c:v>93731.28</c:v>
                </c:pt>
                <c:pt idx="10">
                  <c:v>120429.2</c:v>
                </c:pt>
                <c:pt idx="11">
                  <c:v>107711.53</c:v>
                </c:pt>
                <c:pt idx="12">
                  <c:v>111013.36</c:v>
                </c:pt>
              </c:numCache>
            </c:numRef>
          </c:val>
          <c:extLst>
            <c:ext xmlns:c16="http://schemas.microsoft.com/office/drawing/2014/chart" uri="{C3380CC4-5D6E-409C-BE32-E72D297353CC}">
              <c16:uniqueId val="{00000003-BD77-45BE-865C-1B99D779278E}"/>
            </c:ext>
          </c:extLst>
        </c:ser>
        <c:ser>
          <c:idx val="4"/>
          <c:order val="4"/>
          <c:tx>
            <c:strRef>
              <c:f>debt!$F$4:$F$6</c:f>
              <c:strCache>
                <c:ptCount val="1"/>
                <c:pt idx="0">
                  <c:v>Capital Receipts - Market Loans</c:v>
                </c:pt>
              </c:strCache>
            </c:strRef>
          </c:tx>
          <c:spPr>
            <a:solidFill>
              <a:srgbClr val="191981"/>
            </a:solidFill>
            <a:ln>
              <a:noFill/>
            </a:ln>
            <a:effectLst/>
          </c:spPr>
          <c:invertIfNegative val="0"/>
          <c:cat>
            <c:strRef>
              <c:f>debt!$A$7:$A$19</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debt!$F$7:$F$19</c:f>
              <c:numCache>
                <c:formatCode>General</c:formatCode>
                <c:ptCount val="13"/>
                <c:pt idx="0">
                  <c:v>563674.67000000004</c:v>
                </c:pt>
                <c:pt idx="1">
                  <c:v>592000</c:v>
                </c:pt>
                <c:pt idx="2">
                  <c:v>585000</c:v>
                </c:pt>
                <c:pt idx="3">
                  <c:v>583045</c:v>
                </c:pt>
                <c:pt idx="4">
                  <c:v>588000</c:v>
                </c:pt>
                <c:pt idx="5">
                  <c:v>571000</c:v>
                </c:pt>
                <c:pt idx="6">
                  <c:v>710000</c:v>
                </c:pt>
                <c:pt idx="7">
                  <c:v>1260115.73</c:v>
                </c:pt>
                <c:pt idx="8">
                  <c:v>968381.54</c:v>
                </c:pt>
                <c:pt idx="9">
                  <c:v>1421000</c:v>
                </c:pt>
                <c:pt idx="10">
                  <c:v>1543000</c:v>
                </c:pt>
                <c:pt idx="11">
                  <c:v>1400697.4</c:v>
                </c:pt>
                <c:pt idx="12">
                  <c:v>1482000</c:v>
                </c:pt>
              </c:numCache>
            </c:numRef>
          </c:val>
          <c:extLst>
            <c:ext xmlns:c16="http://schemas.microsoft.com/office/drawing/2014/chart" uri="{C3380CC4-5D6E-409C-BE32-E72D297353CC}">
              <c16:uniqueId val="{00000004-BD77-45BE-865C-1B99D779278E}"/>
            </c:ext>
          </c:extLst>
        </c:ser>
        <c:dLbls>
          <c:showLegendKey val="0"/>
          <c:showVal val="0"/>
          <c:showCatName val="0"/>
          <c:showSerName val="0"/>
          <c:showPercent val="0"/>
          <c:showBubbleSize val="0"/>
        </c:dLbls>
        <c:gapWidth val="150"/>
        <c:overlap val="100"/>
        <c:axId val="1619867583"/>
        <c:axId val="1619868831"/>
      </c:barChart>
      <c:catAx>
        <c:axId val="161986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19868831"/>
        <c:crosses val="autoZero"/>
        <c:auto val="1"/>
        <c:lblAlgn val="ctr"/>
        <c:lblOffset val="100"/>
        <c:noMultiLvlLbl val="0"/>
      </c:catAx>
      <c:valAx>
        <c:axId val="1619868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867583"/>
        <c:crosses val="autoZero"/>
        <c:crossBetween val="between"/>
      </c:valAx>
      <c:spPr>
        <a:noFill/>
        <a:ln>
          <a:noFill/>
        </a:ln>
        <a:effectLst/>
      </c:spPr>
    </c:plotArea>
    <c:legend>
      <c:legendPos val="r"/>
      <c:layout>
        <c:manualLayout>
          <c:xMode val="edge"/>
          <c:yMode val="edge"/>
          <c:x val="0.75284001471113193"/>
          <c:y val="0.22268238305173835"/>
          <c:w val="0.22357829587121036"/>
          <c:h val="0.612968374183313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 lastClr="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 Proj.xlsx]NTR!Pivot_NTR</c:name>
    <c:fmtId val="18"/>
  </c:pivotSource>
  <c:chart>
    <c:autoTitleDeleted val="0"/>
    <c:pivotFmts>
      <c:pivotFmt>
        <c:idx val="0"/>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NTR!$B$4</c:f>
              <c:strCache>
                <c:ptCount val="1"/>
                <c:pt idx="0">
                  <c:v> 2013-14</c:v>
                </c:pt>
              </c:strCache>
            </c:strRef>
          </c:tx>
          <c:spPr>
            <a:ln w="25400" cap="rnd">
              <a:solidFill>
                <a:schemeClr val="accent1"/>
              </a:solidFill>
              <a:round/>
            </a:ln>
            <a:effectLst/>
          </c:spPr>
          <c:marker>
            <c:symbol val="none"/>
          </c:marker>
          <c:cat>
            <c:strRef>
              <c:f>NTR!$A$5:$A$11</c:f>
              <c:strCache>
                <c:ptCount val="6"/>
                <c:pt idx="0">
                  <c:v>Dividends and Profits</c:v>
                </c:pt>
                <c:pt idx="1">
                  <c:v>Interest Receipts</c:v>
                </c:pt>
                <c:pt idx="2">
                  <c:v>Economic Services</c:v>
                </c:pt>
                <c:pt idx="3">
                  <c:v>General Services</c:v>
                </c:pt>
                <c:pt idx="4">
                  <c:v>Other Communication Services</c:v>
                </c:pt>
                <c:pt idx="5">
                  <c:v>Postal Receipts</c:v>
                </c:pt>
              </c:strCache>
            </c:strRef>
          </c:cat>
          <c:val>
            <c:numRef>
              <c:f>NTR!$B$5:$B$11</c:f>
              <c:numCache>
                <c:formatCode>General</c:formatCode>
                <c:ptCount val="6"/>
                <c:pt idx="0">
                  <c:v>90434.52</c:v>
                </c:pt>
                <c:pt idx="1">
                  <c:v>43991.35</c:v>
                </c:pt>
                <c:pt idx="2">
                  <c:v>226411.08</c:v>
                </c:pt>
                <c:pt idx="3">
                  <c:v>28956.11</c:v>
                </c:pt>
                <c:pt idx="4">
                  <c:v>40113.760000000002</c:v>
                </c:pt>
                <c:pt idx="5">
                  <c:v>10730.42</c:v>
                </c:pt>
              </c:numCache>
            </c:numRef>
          </c:val>
          <c:extLst>
            <c:ext xmlns:c16="http://schemas.microsoft.com/office/drawing/2014/chart" uri="{C3380CC4-5D6E-409C-BE32-E72D297353CC}">
              <c16:uniqueId val="{00000000-88AD-4C56-AD58-A335DFD8BB9F}"/>
            </c:ext>
          </c:extLst>
        </c:ser>
        <c:ser>
          <c:idx val="1"/>
          <c:order val="1"/>
          <c:tx>
            <c:strRef>
              <c:f>NTR!$C$4</c:f>
              <c:strCache>
                <c:ptCount val="1"/>
                <c:pt idx="0">
                  <c:v> 2020-21</c:v>
                </c:pt>
              </c:strCache>
            </c:strRef>
          </c:tx>
          <c:spPr>
            <a:ln w="25400" cap="rnd">
              <a:solidFill>
                <a:schemeClr val="accent2"/>
              </a:solidFill>
              <a:round/>
            </a:ln>
            <a:effectLst/>
          </c:spPr>
          <c:marker>
            <c:symbol val="none"/>
          </c:marker>
          <c:cat>
            <c:strRef>
              <c:f>NTR!$A$5:$A$11</c:f>
              <c:strCache>
                <c:ptCount val="6"/>
                <c:pt idx="0">
                  <c:v>Dividends and Profits</c:v>
                </c:pt>
                <c:pt idx="1">
                  <c:v>Interest Receipts</c:v>
                </c:pt>
                <c:pt idx="2">
                  <c:v>Economic Services</c:v>
                </c:pt>
                <c:pt idx="3">
                  <c:v>General Services</c:v>
                </c:pt>
                <c:pt idx="4">
                  <c:v>Other Communication Services</c:v>
                </c:pt>
                <c:pt idx="5">
                  <c:v>Postal Receipts</c:v>
                </c:pt>
              </c:strCache>
            </c:strRef>
          </c:cat>
          <c:val>
            <c:numRef>
              <c:f>NTR!$C$5:$C$11</c:f>
              <c:numCache>
                <c:formatCode>General</c:formatCode>
                <c:ptCount val="6"/>
                <c:pt idx="0">
                  <c:v>96877.75</c:v>
                </c:pt>
                <c:pt idx="1">
                  <c:v>59528.76</c:v>
                </c:pt>
                <c:pt idx="2">
                  <c:v>228124.6</c:v>
                </c:pt>
                <c:pt idx="3">
                  <c:v>39565.879999999997</c:v>
                </c:pt>
                <c:pt idx="4">
                  <c:v>45500.65</c:v>
                </c:pt>
                <c:pt idx="5">
                  <c:v>10632.31</c:v>
                </c:pt>
              </c:numCache>
            </c:numRef>
          </c:val>
          <c:extLst>
            <c:ext xmlns:c16="http://schemas.microsoft.com/office/drawing/2014/chart" uri="{C3380CC4-5D6E-409C-BE32-E72D297353CC}">
              <c16:uniqueId val="{00000001-88AD-4C56-AD58-A335DFD8BB9F}"/>
            </c:ext>
          </c:extLst>
        </c:ser>
        <c:ser>
          <c:idx val="2"/>
          <c:order val="2"/>
          <c:tx>
            <c:strRef>
              <c:f>NTR!$D$4</c:f>
              <c:strCache>
                <c:ptCount val="1"/>
                <c:pt idx="0">
                  <c:v>2025-26</c:v>
                </c:pt>
              </c:strCache>
            </c:strRef>
          </c:tx>
          <c:spPr>
            <a:ln w="25400" cap="rnd">
              <a:solidFill>
                <a:srgbClr val="00B050"/>
              </a:solidFill>
              <a:round/>
            </a:ln>
            <a:effectLst/>
          </c:spPr>
          <c:marker>
            <c:symbol val="none"/>
          </c:marker>
          <c:cat>
            <c:strRef>
              <c:f>NTR!$A$5:$A$11</c:f>
              <c:strCache>
                <c:ptCount val="6"/>
                <c:pt idx="0">
                  <c:v>Dividends and Profits</c:v>
                </c:pt>
                <c:pt idx="1">
                  <c:v>Interest Receipts</c:v>
                </c:pt>
                <c:pt idx="2">
                  <c:v>Economic Services</c:v>
                </c:pt>
                <c:pt idx="3">
                  <c:v>General Services</c:v>
                </c:pt>
                <c:pt idx="4">
                  <c:v>Other Communication Services</c:v>
                </c:pt>
                <c:pt idx="5">
                  <c:v>Postal Receipts</c:v>
                </c:pt>
              </c:strCache>
            </c:strRef>
          </c:cat>
          <c:val>
            <c:numRef>
              <c:f>NTR!$D$5:$D$11</c:f>
              <c:numCache>
                <c:formatCode>General</c:formatCode>
                <c:ptCount val="6"/>
                <c:pt idx="0">
                  <c:v>325000</c:v>
                </c:pt>
                <c:pt idx="1">
                  <c:v>90237.98</c:v>
                </c:pt>
                <c:pt idx="2">
                  <c:v>481884.77</c:v>
                </c:pt>
                <c:pt idx="3">
                  <c:v>72257.03</c:v>
                </c:pt>
                <c:pt idx="4">
                  <c:v>82442.84</c:v>
                </c:pt>
                <c:pt idx="5">
                  <c:v>12487.11</c:v>
                </c:pt>
              </c:numCache>
            </c:numRef>
          </c:val>
          <c:extLst>
            <c:ext xmlns:c16="http://schemas.microsoft.com/office/drawing/2014/chart" uri="{C3380CC4-5D6E-409C-BE32-E72D297353CC}">
              <c16:uniqueId val="{00000002-88AD-4C56-AD58-A335DFD8BB9F}"/>
            </c:ext>
          </c:extLst>
        </c:ser>
        <c:dLbls>
          <c:showLegendKey val="0"/>
          <c:showVal val="0"/>
          <c:showCatName val="0"/>
          <c:showSerName val="0"/>
          <c:showPercent val="0"/>
          <c:showBubbleSize val="0"/>
        </c:dLbls>
        <c:axId val="1858139183"/>
        <c:axId val="1858142095"/>
      </c:radarChart>
      <c:catAx>
        <c:axId val="185813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58142095"/>
        <c:crosses val="autoZero"/>
        <c:auto val="1"/>
        <c:lblAlgn val="ctr"/>
        <c:lblOffset val="100"/>
        <c:noMultiLvlLbl val="0"/>
      </c:catAx>
      <c:valAx>
        <c:axId val="185814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b"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58139183"/>
        <c:crosses val="autoZero"/>
        <c:crossBetween val="between"/>
      </c:valAx>
      <c:spPr>
        <a:noFill/>
        <a:ln>
          <a:noFill/>
        </a:ln>
        <a:effectLst/>
      </c:spPr>
    </c:plotArea>
    <c:legend>
      <c:legendPos val="r"/>
      <c:layout>
        <c:manualLayout>
          <c:xMode val="edge"/>
          <c:yMode val="edge"/>
          <c:x val="0.8245942505492615"/>
          <c:y val="0.30860131263068225"/>
          <c:w val="0.13117867841244121"/>
          <c:h val="0.384504917834410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ysClr val="window" lastClr="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solidFill>
              <a:srgbClr val="008000"/>
            </a:solidFill>
          </c:spPr>
          <c:dPt>
            <c:idx val="0"/>
            <c:bubble3D val="0"/>
            <c:spPr>
              <a:solidFill>
                <a:srgbClr val="008000"/>
              </a:solidFill>
              <a:ln w="19050">
                <a:solidFill>
                  <a:schemeClr val="lt1"/>
                </a:solidFill>
              </a:ln>
              <a:effectLst/>
            </c:spPr>
            <c:extLst>
              <c:ext xmlns:c16="http://schemas.microsoft.com/office/drawing/2014/chart" uri="{C3380CC4-5D6E-409C-BE32-E72D297353CC}">
                <c16:uniqueId val="{00000001-4625-4EF8-85CC-478ED6542D91}"/>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4625-4EF8-85CC-478ED6542D91}"/>
              </c:ext>
            </c:extLst>
          </c:dPt>
          <c:dPt>
            <c:idx val="2"/>
            <c:bubble3D val="0"/>
            <c:spPr>
              <a:solidFill>
                <a:srgbClr val="191981"/>
              </a:solidFill>
              <a:ln w="19050">
                <a:solidFill>
                  <a:schemeClr val="lt1"/>
                </a:solidFill>
              </a:ln>
              <a:effectLst/>
            </c:spPr>
            <c:extLst>
              <c:ext xmlns:c16="http://schemas.microsoft.com/office/drawing/2014/chart" uri="{C3380CC4-5D6E-409C-BE32-E72D297353CC}">
                <c16:uniqueId val="{00000005-4625-4EF8-85CC-478ED6542D91}"/>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4625-4EF8-85CC-478ED6542D91}"/>
              </c:ext>
            </c:extLst>
          </c:dPt>
          <c:dLbls>
            <c:dLbl>
              <c:idx val="0"/>
              <c:layout>
                <c:manualLayout>
                  <c:x val="0.21366515206524889"/>
                  <c:y val="-3.7628214865329419E-2"/>
                </c:manualLayout>
              </c:layout>
              <c:showLegendKey val="0"/>
              <c:showVal val="0"/>
              <c:showCatName val="1"/>
              <c:showSerName val="0"/>
              <c:showPercent val="1"/>
              <c:showBubbleSize val="0"/>
              <c:extLst>
                <c:ext xmlns:c15="http://schemas.microsoft.com/office/drawing/2012/chart" uri="{CE6537A1-D6FC-4f65-9D91-7224C49458BB}">
                  <c15:layout>
                    <c:manualLayout>
                      <c:w val="0.35561169765645012"/>
                      <c:h val="0.31272035368515305"/>
                    </c:manualLayout>
                  </c15:layout>
                </c:ext>
                <c:ext xmlns:c16="http://schemas.microsoft.com/office/drawing/2014/chart" uri="{C3380CC4-5D6E-409C-BE32-E72D297353CC}">
                  <c16:uniqueId val="{00000001-4625-4EF8-85CC-478ED6542D91}"/>
                </c:ext>
              </c:extLst>
            </c:dLbl>
            <c:dLbl>
              <c:idx val="1"/>
              <c:layout>
                <c:manualLayout>
                  <c:x val="0.11290951129928944"/>
                  <c:y val="6.68899850499268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25-4EF8-85CC-478ED6542D91}"/>
                </c:ext>
              </c:extLst>
            </c:dLbl>
            <c:dLbl>
              <c:idx val="2"/>
              <c:layout>
                <c:manualLayout>
                  <c:x val="0.21667244751443804"/>
                  <c:y val="1.8134758520342492E-2"/>
                </c:manualLayout>
              </c:layout>
              <c:showLegendKey val="0"/>
              <c:showVal val="0"/>
              <c:showCatName val="1"/>
              <c:showSerName val="0"/>
              <c:showPercent val="1"/>
              <c:showBubbleSize val="0"/>
              <c:extLst>
                <c:ext xmlns:c15="http://schemas.microsoft.com/office/drawing/2012/chart" uri="{CE6537A1-D6FC-4f65-9D91-7224C49458BB}">
                  <c15:layout>
                    <c:manualLayout>
                      <c:w val="0.36534340262436971"/>
                      <c:h val="0.31272035368515305"/>
                    </c:manualLayout>
                  </c15:layout>
                </c:ext>
                <c:ext xmlns:c16="http://schemas.microsoft.com/office/drawing/2014/chart" uri="{C3380CC4-5D6E-409C-BE32-E72D297353CC}">
                  <c16:uniqueId val="{00000005-4625-4EF8-85CC-478ED6542D91}"/>
                </c:ext>
              </c:extLst>
            </c:dLbl>
            <c:dLbl>
              <c:idx val="3"/>
              <c:layout>
                <c:manualLayout>
                  <c:x val="-0.16781772128052633"/>
                  <c:y val="-5.84292030092018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625-4EF8-85CC-478ED6542D9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 Receipts vs Expenditure'!$AX$6:$AX$9</c:f>
              <c:strCache>
                <c:ptCount val="4"/>
                <c:pt idx="0">
                  <c:v>Revenue Receipts (₹Crore)</c:v>
                </c:pt>
                <c:pt idx="1">
                  <c:v>Revenue Expenditure (₹Crore)</c:v>
                </c:pt>
                <c:pt idx="2">
                  <c:v>Capital Receipts (₹Crore)</c:v>
                </c:pt>
                <c:pt idx="3">
                  <c:v>Capital Expenditure (₹Crore)</c:v>
                </c:pt>
              </c:strCache>
            </c:strRef>
          </c:cat>
          <c:val>
            <c:numRef>
              <c:f>' Receipts vs Expenditure'!$AY$6:$AY$9</c:f>
              <c:numCache>
                <c:formatCode>General</c:formatCode>
                <c:ptCount val="4"/>
                <c:pt idx="0">
                  <c:v>1948083.53</c:v>
                </c:pt>
                <c:pt idx="1">
                  <c:v>2615319.67</c:v>
                </c:pt>
                <c:pt idx="2">
                  <c:v>7370383.4699999997</c:v>
                </c:pt>
                <c:pt idx="3">
                  <c:v>6759434.6500000004</c:v>
                </c:pt>
              </c:numCache>
            </c:numRef>
          </c:val>
          <c:extLst>
            <c:ext xmlns:c16="http://schemas.microsoft.com/office/drawing/2014/chart" uri="{C3380CC4-5D6E-409C-BE32-E72D297353CC}">
              <c16:uniqueId val="{00000008-4625-4EF8-85CC-478ED6542D91}"/>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 Receipts vs Expenditure!Pivot_MainFlows</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38100" cap="rnd">
            <a:solidFill>
              <a:schemeClr val="accent2"/>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8100" cap="rnd">
            <a:solidFill>
              <a:schemeClr val="accent2"/>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8100" cap="rnd">
            <a:solidFill>
              <a:schemeClr val="accent2"/>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8100" cap="rnd">
            <a:solidFill>
              <a:schemeClr val="accent2"/>
            </a:solidFill>
            <a:round/>
          </a:ln>
          <a:effectLst/>
        </c:spPr>
        <c:marker>
          <c:symbol val="circle"/>
          <c:size val="8"/>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42881567336791E-2"/>
          <c:y val="8.388503271488626E-2"/>
          <c:w val="0.80294346806020822"/>
          <c:h val="0.75463240854278091"/>
        </c:manualLayout>
      </c:layout>
      <c:lineChart>
        <c:grouping val="standard"/>
        <c:varyColors val="0"/>
        <c:ser>
          <c:idx val="0"/>
          <c:order val="0"/>
          <c:tx>
            <c:strRef>
              <c:f>' Receipts vs Expenditure'!$B$2</c:f>
              <c:strCache>
                <c:ptCount val="1"/>
                <c:pt idx="0">
                  <c:v>Revenue Receipts (₹Crore)</c:v>
                </c:pt>
              </c:strCache>
            </c:strRef>
          </c:tx>
          <c:spPr>
            <a:ln w="38100" cap="rnd">
              <a:solidFill>
                <a:schemeClr val="accent2"/>
              </a:solidFill>
              <a:round/>
            </a:ln>
            <a:effectLst/>
          </c:spPr>
          <c:marker>
            <c:symbol val="circle"/>
            <c:size val="8"/>
            <c:spPr>
              <a:solidFill>
                <a:schemeClr val="accent2"/>
              </a:solidFill>
              <a:ln>
                <a:noFill/>
              </a:ln>
              <a:effectLst/>
            </c:spPr>
          </c:marker>
          <c:cat>
            <c:strRef>
              <c:f>' Receipts vs Expenditure'!$A$3:$A$16</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 Receipts vs Expenditure'!$B$3:$B$16</c:f>
              <c:numCache>
                <c:formatCode>General</c:formatCode>
                <c:ptCount val="13"/>
                <c:pt idx="0">
                  <c:v>1217798.79</c:v>
                </c:pt>
                <c:pt idx="1">
                  <c:v>1328908.96</c:v>
                </c:pt>
                <c:pt idx="2">
                  <c:v>1436160.22</c:v>
                </c:pt>
                <c:pt idx="3">
                  <c:v>1615987.98</c:v>
                </c:pt>
                <c:pt idx="4">
                  <c:v>1691143.1</c:v>
                </c:pt>
                <c:pt idx="5">
                  <c:v>1806462.91</c:v>
                </c:pt>
                <c:pt idx="6">
                  <c:v>1948083.53</c:v>
                </c:pt>
                <c:pt idx="7">
                  <c:v>1864513.47</c:v>
                </c:pt>
                <c:pt idx="8">
                  <c:v>2436421.48</c:v>
                </c:pt>
                <c:pt idx="9">
                  <c:v>2713267.2</c:v>
                </c:pt>
                <c:pt idx="10">
                  <c:v>3088174.64</c:v>
                </c:pt>
                <c:pt idx="11">
                  <c:v>3835268.52</c:v>
                </c:pt>
                <c:pt idx="12">
                  <c:v>3485869.29</c:v>
                </c:pt>
              </c:numCache>
            </c:numRef>
          </c:val>
          <c:smooth val="0"/>
          <c:extLst>
            <c:ext xmlns:c16="http://schemas.microsoft.com/office/drawing/2014/chart" uri="{C3380CC4-5D6E-409C-BE32-E72D297353CC}">
              <c16:uniqueId val="{00000000-4EE7-495D-862B-923E638942E4}"/>
            </c:ext>
          </c:extLst>
        </c:ser>
        <c:ser>
          <c:idx val="1"/>
          <c:order val="1"/>
          <c:tx>
            <c:strRef>
              <c:f>' Receipts vs Expenditure'!$C$2</c:f>
              <c:strCache>
                <c:ptCount val="1"/>
                <c:pt idx="0">
                  <c:v>Revenue Expenditure (₹Crore)</c:v>
                </c:pt>
              </c:strCache>
            </c:strRef>
          </c:tx>
          <c:spPr>
            <a:ln w="38100" cap="rnd">
              <a:solidFill>
                <a:schemeClr val="accent4"/>
              </a:solidFill>
              <a:round/>
            </a:ln>
            <a:effectLst/>
          </c:spPr>
          <c:marker>
            <c:symbol val="circle"/>
            <c:size val="8"/>
            <c:spPr>
              <a:solidFill>
                <a:schemeClr val="accent4"/>
              </a:solidFill>
              <a:ln>
                <a:noFill/>
              </a:ln>
              <a:effectLst/>
            </c:spPr>
          </c:marker>
          <c:cat>
            <c:strRef>
              <c:f>' Receipts vs Expenditure'!$A$3:$A$16</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 Receipts vs Expenditure'!$C$3:$C$16</c:f>
              <c:numCache>
                <c:formatCode>General</c:formatCode>
                <c:ptCount val="13"/>
                <c:pt idx="0">
                  <c:v>1575096.57</c:v>
                </c:pt>
                <c:pt idx="1">
                  <c:v>1695136.79</c:v>
                </c:pt>
                <c:pt idx="2">
                  <c:v>1779528.81</c:v>
                </c:pt>
                <c:pt idx="3">
                  <c:v>1933018.06</c:v>
                </c:pt>
                <c:pt idx="4">
                  <c:v>2140084.5299999998</c:v>
                </c:pt>
                <c:pt idx="5">
                  <c:v>2261570.81</c:v>
                </c:pt>
                <c:pt idx="6">
                  <c:v>2615319.67</c:v>
                </c:pt>
                <c:pt idx="7">
                  <c:v>3314851.92</c:v>
                </c:pt>
                <c:pt idx="8">
                  <c:v>3468188.81</c:v>
                </c:pt>
                <c:pt idx="9">
                  <c:v>3783698.51</c:v>
                </c:pt>
                <c:pt idx="10">
                  <c:v>3854082.21</c:v>
                </c:pt>
                <c:pt idx="11">
                  <c:v>4359702.41</c:v>
                </c:pt>
                <c:pt idx="12">
                  <c:v>4096607.07</c:v>
                </c:pt>
              </c:numCache>
            </c:numRef>
          </c:val>
          <c:smooth val="0"/>
          <c:extLst>
            <c:ext xmlns:c16="http://schemas.microsoft.com/office/drawing/2014/chart" uri="{C3380CC4-5D6E-409C-BE32-E72D297353CC}">
              <c16:uniqueId val="{00000001-4EE7-495D-862B-923E638942E4}"/>
            </c:ext>
          </c:extLst>
        </c:ser>
        <c:ser>
          <c:idx val="2"/>
          <c:order val="2"/>
          <c:tx>
            <c:strRef>
              <c:f>' Receipts vs Expenditure'!$D$2</c:f>
              <c:strCache>
                <c:ptCount val="1"/>
                <c:pt idx="0">
                  <c:v>Capital Expenditure (₹Crore)</c:v>
                </c:pt>
              </c:strCache>
            </c:strRef>
          </c:tx>
          <c:spPr>
            <a:ln w="38100" cap="rnd">
              <a:solidFill>
                <a:schemeClr val="accent6"/>
              </a:solidFill>
              <a:round/>
            </a:ln>
            <a:effectLst/>
          </c:spPr>
          <c:marker>
            <c:symbol val="circle"/>
            <c:size val="8"/>
            <c:spPr>
              <a:solidFill>
                <a:schemeClr val="accent6"/>
              </a:solidFill>
              <a:ln>
                <a:noFill/>
              </a:ln>
              <a:effectLst/>
            </c:spPr>
          </c:marker>
          <c:cat>
            <c:strRef>
              <c:f>' Receipts vs Expenditure'!$A$3:$A$16</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 Receipts vs Expenditure'!$D$3:$D$16</c:f>
              <c:numCache>
                <c:formatCode>General</c:formatCode>
                <c:ptCount val="13"/>
                <c:pt idx="0">
                  <c:v>3711135.71</c:v>
                </c:pt>
                <c:pt idx="1">
                  <c:v>3921706.24</c:v>
                </c:pt>
                <c:pt idx="2">
                  <c:v>4063795.25</c:v>
                </c:pt>
                <c:pt idx="3">
                  <c:v>5988306.4100000001</c:v>
                </c:pt>
                <c:pt idx="4">
                  <c:v>6279856.7999999998</c:v>
                </c:pt>
                <c:pt idx="5">
                  <c:v>6519135.5800000001</c:v>
                </c:pt>
                <c:pt idx="6">
                  <c:v>6759434.6500000004</c:v>
                </c:pt>
                <c:pt idx="7">
                  <c:v>6777429.6600000001</c:v>
                </c:pt>
                <c:pt idx="8">
                  <c:v>7445313.0499999998</c:v>
                </c:pt>
                <c:pt idx="9">
                  <c:v>7966516.6100000003</c:v>
                </c:pt>
                <c:pt idx="10">
                  <c:v>8460982.8800000008</c:v>
                </c:pt>
                <c:pt idx="11">
                  <c:v>10293122.49</c:v>
                </c:pt>
                <c:pt idx="12">
                  <c:v>9500416.2799999993</c:v>
                </c:pt>
              </c:numCache>
            </c:numRef>
          </c:val>
          <c:smooth val="0"/>
          <c:extLst>
            <c:ext xmlns:c16="http://schemas.microsoft.com/office/drawing/2014/chart" uri="{C3380CC4-5D6E-409C-BE32-E72D297353CC}">
              <c16:uniqueId val="{00000002-4EE7-495D-862B-923E638942E4}"/>
            </c:ext>
          </c:extLst>
        </c:ser>
        <c:ser>
          <c:idx val="3"/>
          <c:order val="3"/>
          <c:tx>
            <c:strRef>
              <c:f>' Receipts vs Expenditure'!$E$2</c:f>
              <c:strCache>
                <c:ptCount val="1"/>
                <c:pt idx="0">
                  <c:v>Capital Receipts (₹Crore)</c:v>
                </c:pt>
              </c:strCache>
            </c:strRef>
          </c:tx>
          <c:spPr>
            <a:ln w="38100" cap="rnd">
              <a:solidFill>
                <a:schemeClr val="accent2">
                  <a:lumMod val="60000"/>
                </a:schemeClr>
              </a:solidFill>
              <a:round/>
            </a:ln>
            <a:effectLst/>
          </c:spPr>
          <c:marker>
            <c:symbol val="circle"/>
            <c:size val="8"/>
            <c:spPr>
              <a:solidFill>
                <a:schemeClr val="accent2">
                  <a:lumMod val="60000"/>
                </a:schemeClr>
              </a:solidFill>
              <a:ln>
                <a:noFill/>
              </a:ln>
              <a:effectLst/>
            </c:spPr>
          </c:marker>
          <c:cat>
            <c:strRef>
              <c:f>' Receipts vs Expenditure'!$A$3:$A$16</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 Receipts vs Expenditure'!$E$3:$E$16</c:f>
              <c:numCache>
                <c:formatCode>General</c:formatCode>
                <c:ptCount val="13"/>
                <c:pt idx="0">
                  <c:v>4048883.11</c:v>
                </c:pt>
                <c:pt idx="1">
                  <c:v>4282482.8499999996</c:v>
                </c:pt>
                <c:pt idx="2">
                  <c:v>4400951.21</c:v>
                </c:pt>
                <c:pt idx="3">
                  <c:v>6222850.2400000002</c:v>
                </c:pt>
                <c:pt idx="4">
                  <c:v>6724689.1799999997</c:v>
                </c:pt>
                <c:pt idx="5">
                  <c:v>6883718.3899999997</c:v>
                </c:pt>
                <c:pt idx="6">
                  <c:v>7370383.4699999997</c:v>
                </c:pt>
                <c:pt idx="7">
                  <c:v>8230730.0800000001</c:v>
                </c:pt>
                <c:pt idx="8">
                  <c:v>8288737.9699999997</c:v>
                </c:pt>
                <c:pt idx="9">
                  <c:v>8947200.1400000006</c:v>
                </c:pt>
                <c:pt idx="10">
                  <c:v>9322304.1799999997</c:v>
                </c:pt>
                <c:pt idx="11">
                  <c:v>10760098.77</c:v>
                </c:pt>
                <c:pt idx="12">
                  <c:v>9929531.8800000008</c:v>
                </c:pt>
              </c:numCache>
            </c:numRef>
          </c:val>
          <c:smooth val="0"/>
          <c:extLst>
            <c:ext xmlns:c16="http://schemas.microsoft.com/office/drawing/2014/chart" uri="{C3380CC4-5D6E-409C-BE32-E72D297353CC}">
              <c16:uniqueId val="{00000003-4EE7-495D-862B-923E638942E4}"/>
            </c:ext>
          </c:extLst>
        </c:ser>
        <c:dLbls>
          <c:showLegendKey val="0"/>
          <c:showVal val="0"/>
          <c:showCatName val="0"/>
          <c:showSerName val="0"/>
          <c:showPercent val="0"/>
          <c:showBubbleSize val="0"/>
        </c:dLbls>
        <c:marker val="1"/>
        <c:smooth val="0"/>
        <c:axId val="1081172896"/>
        <c:axId val="1081176640"/>
      </c:lineChart>
      <c:catAx>
        <c:axId val="108117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n-lt"/>
                <a:ea typeface="+mn-ea"/>
                <a:cs typeface="+mn-cs"/>
              </a:defRPr>
            </a:pPr>
            <a:endParaRPr lang="en-US"/>
          </a:p>
        </c:txPr>
        <c:crossAx val="1081176640"/>
        <c:crosses val="autoZero"/>
        <c:auto val="1"/>
        <c:lblAlgn val="ctr"/>
        <c:lblOffset val="100"/>
        <c:noMultiLvlLbl val="0"/>
      </c:catAx>
      <c:valAx>
        <c:axId val="10811766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081172896"/>
        <c:crosses val="autoZero"/>
        <c:crossBetween val="between"/>
      </c:valAx>
      <c:spPr>
        <a:noFill/>
        <a:ln>
          <a:noFill/>
        </a:ln>
        <a:effectLst/>
      </c:spPr>
    </c:plotArea>
    <c:legend>
      <c:legendPos val="r"/>
      <c:layout>
        <c:manualLayout>
          <c:xMode val="edge"/>
          <c:yMode val="edge"/>
          <c:x val="0.86308576351345601"/>
          <c:y val="9.6868276621331864E-2"/>
          <c:w val="0.1259044104110312"/>
          <c:h val="0.74583118045895713"/>
        </c:manualLayout>
      </c:layout>
      <c:overlay val="1"/>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8000"/>
            </a:solidFill>
          </c:spPr>
          <c:dPt>
            <c:idx val="0"/>
            <c:bubble3D val="0"/>
            <c:spPr>
              <a:solidFill>
                <a:srgbClr val="008000"/>
              </a:solidFill>
              <a:ln w="19050">
                <a:solidFill>
                  <a:schemeClr val="lt1"/>
                </a:solidFill>
              </a:ln>
              <a:effectLst/>
            </c:spPr>
            <c:extLst>
              <c:ext xmlns:c16="http://schemas.microsoft.com/office/drawing/2014/chart" uri="{C3380CC4-5D6E-409C-BE32-E72D297353CC}">
                <c16:uniqueId val="{00000003-F7DE-4057-8C74-735EA02D7BF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F7DE-4057-8C74-735EA02D7BF5}"/>
              </c:ext>
            </c:extLst>
          </c:dPt>
          <c:dPt>
            <c:idx val="2"/>
            <c:bubble3D val="0"/>
            <c:spPr>
              <a:solidFill>
                <a:srgbClr val="191981"/>
              </a:solidFill>
              <a:ln w="19050">
                <a:solidFill>
                  <a:schemeClr val="lt1"/>
                </a:solidFill>
              </a:ln>
              <a:effectLst/>
            </c:spPr>
            <c:extLst>
              <c:ext xmlns:c16="http://schemas.microsoft.com/office/drawing/2014/chart" uri="{C3380CC4-5D6E-409C-BE32-E72D297353CC}">
                <c16:uniqueId val="{00000005-F7DE-4057-8C74-735EA02D7BF5}"/>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4-F7DE-4057-8C74-735EA02D7BF5}"/>
              </c:ext>
            </c:extLst>
          </c:dPt>
          <c:dLbls>
            <c:dLbl>
              <c:idx val="0"/>
              <c:layout>
                <c:manualLayout>
                  <c:x val="5.5555555555555552E-2"/>
                  <c:y val="-0.134259259259259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DE-4057-8C74-735EA02D7BF5}"/>
                </c:ext>
              </c:extLst>
            </c:dLbl>
            <c:dLbl>
              <c:idx val="1"/>
              <c:layout>
                <c:manualLayout>
                  <c:x val="0.10555555555555556"/>
                  <c:y val="-9.259259259259302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7DE-4057-8C74-735EA02D7BF5}"/>
                </c:ext>
              </c:extLst>
            </c:dLbl>
            <c:dLbl>
              <c:idx val="2"/>
              <c:layout>
                <c:manualLayout>
                  <c:x val="0.17499999999999999"/>
                  <c:y val="6.01851851851850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7DE-4057-8C74-735EA02D7BF5}"/>
                </c:ext>
              </c:extLst>
            </c:dLbl>
            <c:dLbl>
              <c:idx val="3"/>
              <c:layout>
                <c:manualLayout>
                  <c:x val="-0.11388888888888889"/>
                  <c:y val="-9.72222222222222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7DE-4057-8C74-735EA02D7B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 Receipts vs Expenditure'!$AX$6:$AX$9</c:f>
              <c:strCache>
                <c:ptCount val="4"/>
                <c:pt idx="0">
                  <c:v>Revenue Receipts (₹Crore)</c:v>
                </c:pt>
                <c:pt idx="1">
                  <c:v>Revenue Expenditure (₹Crore)</c:v>
                </c:pt>
                <c:pt idx="2">
                  <c:v>Capital Receipts (₹Crore)</c:v>
                </c:pt>
                <c:pt idx="3">
                  <c:v>Capital Expenditure (₹Crore)</c:v>
                </c:pt>
              </c:strCache>
            </c:strRef>
          </c:cat>
          <c:val>
            <c:numRef>
              <c:f>' Receipts vs Expenditure'!$AY$6:$AY$9</c:f>
              <c:numCache>
                <c:formatCode>General</c:formatCode>
                <c:ptCount val="4"/>
                <c:pt idx="0">
                  <c:v>1948083.53</c:v>
                </c:pt>
                <c:pt idx="1">
                  <c:v>2615319.67</c:v>
                </c:pt>
                <c:pt idx="2">
                  <c:v>7370383.4699999997</c:v>
                </c:pt>
                <c:pt idx="3">
                  <c:v>6759434.6500000004</c:v>
                </c:pt>
              </c:numCache>
            </c:numRef>
          </c:val>
          <c:extLst>
            <c:ext xmlns:c16="http://schemas.microsoft.com/office/drawing/2014/chart" uri="{C3380CC4-5D6E-409C-BE32-E72D297353CC}">
              <c16:uniqueId val="{00000000-F7DE-4057-8C74-735EA02D7BF5}"/>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Proj.xlsx]deficit and surplus!Pivot_Deficit</c:name>
    <c:fmtId val="0"/>
  </c:pivotSource>
  <c:chart>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60857899444077E-2"/>
          <c:y val="6.5636096958468421E-2"/>
          <c:w val="0.86873958753485436"/>
          <c:h val="0.72405029334568471"/>
        </c:manualLayout>
      </c:layout>
      <c:barChart>
        <c:barDir val="bar"/>
        <c:grouping val="clustered"/>
        <c:varyColors val="0"/>
        <c:ser>
          <c:idx val="0"/>
          <c:order val="0"/>
          <c:tx>
            <c:strRef>
              <c:f>'deficit and surplus'!$B$1</c:f>
              <c:strCache>
                <c:ptCount val="1"/>
                <c:pt idx="0">
                  <c:v>Revenue Deficit(₹Cr)</c:v>
                </c:pt>
              </c:strCache>
            </c:strRef>
          </c:tx>
          <c:spPr>
            <a:solidFill>
              <a:srgbClr val="C00000"/>
            </a:solidFill>
            <a:ln>
              <a:noFill/>
            </a:ln>
            <a:effectLst/>
          </c:spPr>
          <c:invertIfNegative val="0"/>
          <c:cat>
            <c:strRef>
              <c:f>'deficit and surplus'!$A$2:$A$15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'deficit and surplus'!$B$2:$B$15</c:f>
              <c:numCache>
                <c:formatCode>General</c:formatCode>
                <c:ptCount val="13"/>
                <c:pt idx="0">
                  <c:v>-357297.78</c:v>
                </c:pt>
                <c:pt idx="1">
                  <c:v>-366227.83000000007</c:v>
                </c:pt>
                <c:pt idx="2">
                  <c:v>-343368.59000000008</c:v>
                </c:pt>
                <c:pt idx="3">
                  <c:v>-317030.08000000007</c:v>
                </c:pt>
                <c:pt idx="4">
                  <c:v>-448941.4299999997</c:v>
                </c:pt>
                <c:pt idx="5">
                  <c:v>-455107.90000000014</c:v>
                </c:pt>
                <c:pt idx="6">
                  <c:v>-667236.1399999999</c:v>
                </c:pt>
                <c:pt idx="7">
                  <c:v>-1450338.45</c:v>
                </c:pt>
                <c:pt idx="8">
                  <c:v>-1031767.3300000001</c:v>
                </c:pt>
                <c:pt idx="9">
                  <c:v>-1070431.3099999996</c:v>
                </c:pt>
                <c:pt idx="10">
                  <c:v>-765907.56999999983</c:v>
                </c:pt>
                <c:pt idx="11">
                  <c:v>-524433.89000000013</c:v>
                </c:pt>
                <c:pt idx="12">
                  <c:v>-610737.7799999998</c:v>
                </c:pt>
              </c:numCache>
            </c:numRef>
          </c:val>
          <c:extLst>
            <c:ext xmlns:c16="http://schemas.microsoft.com/office/drawing/2014/chart" uri="{C3380CC4-5D6E-409C-BE32-E72D297353CC}">
              <c16:uniqueId val="{00000000-AA7F-4512-AF49-3D0654948F02}"/>
            </c:ext>
          </c:extLst>
        </c:ser>
        <c:ser>
          <c:idx val="1"/>
          <c:order val="1"/>
          <c:tx>
            <c:strRef>
              <c:f>'deficit and surplus'!$C$1</c:f>
              <c:strCache>
                <c:ptCount val="1"/>
                <c:pt idx="0">
                  <c:v>Capital Surplus(₹Cr)</c:v>
                </c:pt>
              </c:strCache>
            </c:strRef>
          </c:tx>
          <c:spPr>
            <a:solidFill>
              <a:srgbClr val="00B050"/>
            </a:solidFill>
            <a:ln>
              <a:noFill/>
            </a:ln>
            <a:effectLst/>
          </c:spPr>
          <c:invertIfNegative val="0"/>
          <c:cat>
            <c:strRef>
              <c:f>'deficit and surplus'!$A$2:$A$15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BE 2025-26</c:v>
                </c:pt>
                <c:pt idx="12">
                  <c:v>RE 2024-25</c:v>
                </c:pt>
              </c:strCache>
            </c:strRef>
          </c:cat>
          <c:val>
            <c:numRef>
              <c:f>'deficit and surplus'!$C$2:$C$15</c:f>
              <c:numCache>
                <c:formatCode>General</c:formatCode>
                <c:ptCount val="13"/>
                <c:pt idx="0">
                  <c:v>337747.39999999991</c:v>
                </c:pt>
                <c:pt idx="1">
                  <c:v>360776.6099999994</c:v>
                </c:pt>
                <c:pt idx="2">
                  <c:v>337155.95999999996</c:v>
                </c:pt>
                <c:pt idx="3">
                  <c:v>234543.83000000007</c:v>
                </c:pt>
                <c:pt idx="4">
                  <c:v>444832.37999999989</c:v>
                </c:pt>
                <c:pt idx="5">
                  <c:v>364582.80999999959</c:v>
                </c:pt>
                <c:pt idx="6">
                  <c:v>610948.81999999937</c:v>
                </c:pt>
                <c:pt idx="7">
                  <c:v>1453300.42</c:v>
                </c:pt>
                <c:pt idx="8">
                  <c:v>843424.91999999993</c:v>
                </c:pt>
                <c:pt idx="9">
                  <c:v>980683.53000000026</c:v>
                </c:pt>
                <c:pt idx="10">
                  <c:v>861321.29999999888</c:v>
                </c:pt>
                <c:pt idx="11">
                  <c:v>466976.27999999933</c:v>
                </c:pt>
                <c:pt idx="12">
                  <c:v>429115.60000000149</c:v>
                </c:pt>
              </c:numCache>
            </c:numRef>
          </c:val>
          <c:extLst>
            <c:ext xmlns:c16="http://schemas.microsoft.com/office/drawing/2014/chart" uri="{C3380CC4-5D6E-409C-BE32-E72D297353CC}">
              <c16:uniqueId val="{00000001-AA7F-4512-AF49-3D0654948F02}"/>
            </c:ext>
          </c:extLst>
        </c:ser>
        <c:dLbls>
          <c:showLegendKey val="0"/>
          <c:showVal val="0"/>
          <c:showCatName val="0"/>
          <c:showSerName val="0"/>
          <c:showPercent val="0"/>
          <c:showBubbleSize val="0"/>
        </c:dLbls>
        <c:gapWidth val="99"/>
        <c:overlap val="100"/>
        <c:axId val="493175439"/>
        <c:axId val="493170031"/>
      </c:barChart>
      <c:catAx>
        <c:axId val="493175439"/>
        <c:scaling>
          <c:orientation val="maxMin"/>
        </c:scaling>
        <c:delete val="0"/>
        <c:axPos val="l"/>
        <c:numFmt formatCode="General" sourceLinked="1"/>
        <c:majorTickMark val="out"/>
        <c:minorTickMark val="none"/>
        <c:tickLblPos val="nextTo"/>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18900000" scaled="1"/>
            <a:tileRect/>
          </a:grad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93170031"/>
        <c:crosses val="autoZero"/>
        <c:auto val="1"/>
        <c:lblAlgn val="ctr"/>
        <c:lblOffset val="100"/>
        <c:noMultiLvlLbl val="0"/>
      </c:catAx>
      <c:valAx>
        <c:axId val="493170031"/>
        <c:scaling>
          <c:orientation val="minMax"/>
          <c:max val="1600000"/>
          <c:min val="-1600000"/>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solidFill>
            <a:sysClr val="window" lastClr="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175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Proj.xlsx]Tax Revenue composition!Pivot_Tax</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612378961104435E-2"/>
          <c:y val="8.6459780762698779E-2"/>
          <c:w val="0.73934828061746516"/>
          <c:h val="0.67633261528583433"/>
        </c:manualLayout>
      </c:layout>
      <c:barChart>
        <c:barDir val="col"/>
        <c:grouping val="percentStacked"/>
        <c:varyColors val="0"/>
        <c:ser>
          <c:idx val="0"/>
          <c:order val="0"/>
          <c:tx>
            <c:strRef>
              <c:f>'Tax Revenue composition'!$B$1:$B$2</c:f>
              <c:strCache>
                <c:ptCount val="1"/>
                <c:pt idx="0">
                  <c:v>CGST</c:v>
                </c:pt>
              </c:strCache>
            </c:strRef>
          </c:tx>
          <c:spPr>
            <a:solidFill>
              <a:schemeClr val="accent1"/>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composition'!$B$3:$B$15</c:f>
              <c:numCache>
                <c:formatCode>General</c:formatCode>
                <c:ptCount val="13"/>
                <c:pt idx="0">
                  <c:v>0</c:v>
                </c:pt>
                <c:pt idx="1">
                  <c:v>0</c:v>
                </c:pt>
                <c:pt idx="2">
                  <c:v>0</c:v>
                </c:pt>
                <c:pt idx="3">
                  <c:v>0</c:v>
                </c:pt>
                <c:pt idx="4">
                  <c:v>203261.4</c:v>
                </c:pt>
                <c:pt idx="5">
                  <c:v>457534.01</c:v>
                </c:pt>
                <c:pt idx="6">
                  <c:v>494070.6</c:v>
                </c:pt>
                <c:pt idx="7">
                  <c:v>456333.97</c:v>
                </c:pt>
                <c:pt idx="8">
                  <c:v>591226.14</c:v>
                </c:pt>
                <c:pt idx="9">
                  <c:v>718521.75</c:v>
                </c:pt>
                <c:pt idx="10">
                  <c:v>820622.09</c:v>
                </c:pt>
                <c:pt idx="11">
                  <c:v>908459</c:v>
                </c:pt>
                <c:pt idx="12">
                  <c:v>1010890</c:v>
                </c:pt>
              </c:numCache>
            </c:numRef>
          </c:val>
          <c:extLst>
            <c:ext xmlns:c16="http://schemas.microsoft.com/office/drawing/2014/chart" uri="{C3380CC4-5D6E-409C-BE32-E72D297353CC}">
              <c16:uniqueId val="{00000000-10A6-4D73-8B9F-81BFB3782FF4}"/>
            </c:ext>
          </c:extLst>
        </c:ser>
        <c:ser>
          <c:idx val="1"/>
          <c:order val="1"/>
          <c:tx>
            <c:strRef>
              <c:f>'Tax Revenue composition'!$C$1:$C$2</c:f>
              <c:strCache>
                <c:ptCount val="1"/>
                <c:pt idx="0">
                  <c:v>Corporation Tax</c:v>
                </c:pt>
              </c:strCache>
            </c:strRef>
          </c:tx>
          <c:spPr>
            <a:solidFill>
              <a:schemeClr val="accent2"/>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composition'!$C$3:$C$15</c:f>
              <c:numCache>
                <c:formatCode>General</c:formatCode>
                <c:ptCount val="13"/>
                <c:pt idx="0">
                  <c:v>394677.85</c:v>
                </c:pt>
                <c:pt idx="1">
                  <c:v>428924.74</c:v>
                </c:pt>
                <c:pt idx="2">
                  <c:v>453228.33</c:v>
                </c:pt>
                <c:pt idx="3">
                  <c:v>484923.86</c:v>
                </c:pt>
                <c:pt idx="4">
                  <c:v>571201.87</c:v>
                </c:pt>
                <c:pt idx="5">
                  <c:v>663571.62</c:v>
                </c:pt>
                <c:pt idx="6">
                  <c:v>556875.55000000005</c:v>
                </c:pt>
                <c:pt idx="7">
                  <c:v>457718.97</c:v>
                </c:pt>
                <c:pt idx="8">
                  <c:v>712037.33</c:v>
                </c:pt>
                <c:pt idx="9">
                  <c:v>825833.64</c:v>
                </c:pt>
                <c:pt idx="10">
                  <c:v>911055.01</c:v>
                </c:pt>
                <c:pt idx="11">
                  <c:v>980000</c:v>
                </c:pt>
                <c:pt idx="12">
                  <c:v>1082000</c:v>
                </c:pt>
              </c:numCache>
            </c:numRef>
          </c:val>
          <c:extLst>
            <c:ext xmlns:c16="http://schemas.microsoft.com/office/drawing/2014/chart" uri="{C3380CC4-5D6E-409C-BE32-E72D297353CC}">
              <c16:uniqueId val="{000000EC-A220-44D2-B61A-8268C5C0A519}"/>
            </c:ext>
          </c:extLst>
        </c:ser>
        <c:ser>
          <c:idx val="2"/>
          <c:order val="2"/>
          <c:tx>
            <c:strRef>
              <c:f>'Tax Revenue composition'!$D$1:$D$2</c:f>
              <c:strCache>
                <c:ptCount val="1"/>
                <c:pt idx="0">
                  <c:v>Customs</c:v>
                </c:pt>
              </c:strCache>
            </c:strRef>
          </c:tx>
          <c:spPr>
            <a:solidFill>
              <a:schemeClr val="accent3"/>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composition'!$D$3:$D$15</c:f>
              <c:numCache>
                <c:formatCode>General</c:formatCode>
                <c:ptCount val="13"/>
                <c:pt idx="0">
                  <c:v>172085.42</c:v>
                </c:pt>
                <c:pt idx="1">
                  <c:v>188016.19</c:v>
                </c:pt>
                <c:pt idx="2">
                  <c:v>210338</c:v>
                </c:pt>
                <c:pt idx="3">
                  <c:v>225370.34</c:v>
                </c:pt>
                <c:pt idx="4">
                  <c:v>129029.92</c:v>
                </c:pt>
                <c:pt idx="5">
                  <c:v>117812.85</c:v>
                </c:pt>
                <c:pt idx="6">
                  <c:v>109282.54</c:v>
                </c:pt>
                <c:pt idx="7">
                  <c:v>134750.39000000001</c:v>
                </c:pt>
                <c:pt idx="8">
                  <c:v>199728.3</c:v>
                </c:pt>
                <c:pt idx="9">
                  <c:v>213372.09</c:v>
                </c:pt>
                <c:pt idx="10">
                  <c:v>233118.97</c:v>
                </c:pt>
                <c:pt idx="11">
                  <c:v>235000</c:v>
                </c:pt>
                <c:pt idx="12">
                  <c:v>240000</c:v>
                </c:pt>
              </c:numCache>
            </c:numRef>
          </c:val>
          <c:extLst>
            <c:ext xmlns:c16="http://schemas.microsoft.com/office/drawing/2014/chart" uri="{C3380CC4-5D6E-409C-BE32-E72D297353CC}">
              <c16:uniqueId val="{000000F4-A220-44D2-B61A-8268C5C0A519}"/>
            </c:ext>
          </c:extLst>
        </c:ser>
        <c:ser>
          <c:idx val="3"/>
          <c:order val="3"/>
          <c:tx>
            <c:strRef>
              <c:f>'Tax Revenue composition'!$E$1:$E$2</c:f>
              <c:strCache>
                <c:ptCount val="1"/>
                <c:pt idx="0">
                  <c:v>GST Compensation Cess</c:v>
                </c:pt>
              </c:strCache>
            </c:strRef>
          </c:tx>
          <c:spPr>
            <a:solidFill>
              <a:schemeClr val="accent4"/>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composition'!$E$3:$E$15</c:f>
              <c:numCache>
                <c:formatCode>General</c:formatCode>
                <c:ptCount val="13"/>
                <c:pt idx="0">
                  <c:v>0</c:v>
                </c:pt>
                <c:pt idx="1">
                  <c:v>0</c:v>
                </c:pt>
                <c:pt idx="2">
                  <c:v>0</c:v>
                </c:pt>
                <c:pt idx="3">
                  <c:v>0</c:v>
                </c:pt>
                <c:pt idx="4">
                  <c:v>62611.59</c:v>
                </c:pt>
                <c:pt idx="5">
                  <c:v>95080.71</c:v>
                </c:pt>
                <c:pt idx="6">
                  <c:v>95553.09</c:v>
                </c:pt>
                <c:pt idx="7">
                  <c:v>85191.91</c:v>
                </c:pt>
                <c:pt idx="8">
                  <c:v>104768.66</c:v>
                </c:pt>
                <c:pt idx="9">
                  <c:v>125862.41</c:v>
                </c:pt>
                <c:pt idx="10">
                  <c:v>141436.16</c:v>
                </c:pt>
                <c:pt idx="11">
                  <c:v>153440</c:v>
                </c:pt>
                <c:pt idx="12">
                  <c:v>167110</c:v>
                </c:pt>
              </c:numCache>
            </c:numRef>
          </c:val>
          <c:extLst>
            <c:ext xmlns:c16="http://schemas.microsoft.com/office/drawing/2014/chart" uri="{C3380CC4-5D6E-409C-BE32-E72D297353CC}">
              <c16:uniqueId val="{00000000-B117-4BE9-8BEA-C2E90A57EFA4}"/>
            </c:ext>
          </c:extLst>
        </c:ser>
        <c:ser>
          <c:idx val="4"/>
          <c:order val="4"/>
          <c:tx>
            <c:strRef>
              <c:f>'Tax Revenue composition'!$F$1:$F$2</c:f>
              <c:strCache>
                <c:ptCount val="1"/>
                <c:pt idx="0">
                  <c:v>IGST</c:v>
                </c:pt>
              </c:strCache>
            </c:strRef>
          </c:tx>
          <c:spPr>
            <a:solidFill>
              <a:schemeClr val="accent5"/>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composition'!$F$3:$F$15</c:f>
              <c:numCache>
                <c:formatCode>General</c:formatCode>
                <c:ptCount val="13"/>
                <c:pt idx="0">
                  <c:v>0</c:v>
                </c:pt>
                <c:pt idx="1">
                  <c:v>0</c:v>
                </c:pt>
                <c:pt idx="2">
                  <c:v>0</c:v>
                </c:pt>
                <c:pt idx="3">
                  <c:v>0</c:v>
                </c:pt>
                <c:pt idx="4">
                  <c:v>176688.44</c:v>
                </c:pt>
                <c:pt idx="5">
                  <c:v>28944.58</c:v>
                </c:pt>
                <c:pt idx="6">
                  <c:v>9125.2099999999991</c:v>
                </c:pt>
                <c:pt idx="7">
                  <c:v>7251.43</c:v>
                </c:pt>
                <c:pt idx="8">
                  <c:v>2119.08</c:v>
                </c:pt>
                <c:pt idx="9">
                  <c:v>4748.29</c:v>
                </c:pt>
                <c:pt idx="10">
                  <c:v>-4850.43</c:v>
                </c:pt>
                <c:pt idx="11">
                  <c:v>0</c:v>
                </c:pt>
                <c:pt idx="12">
                  <c:v>0</c:v>
                </c:pt>
              </c:numCache>
            </c:numRef>
          </c:val>
          <c:extLst>
            <c:ext xmlns:c16="http://schemas.microsoft.com/office/drawing/2014/chart" uri="{C3380CC4-5D6E-409C-BE32-E72D297353CC}">
              <c16:uniqueId val="{00000001-B117-4BE9-8BEA-C2E90A57EFA4}"/>
            </c:ext>
          </c:extLst>
        </c:ser>
        <c:ser>
          <c:idx val="5"/>
          <c:order val="5"/>
          <c:tx>
            <c:strRef>
              <c:f>'Tax Revenue composition'!$G$1:$G$2</c:f>
              <c:strCache>
                <c:ptCount val="1"/>
                <c:pt idx="0">
                  <c:v>Income Tax (excl. Corp Tax)</c:v>
                </c:pt>
              </c:strCache>
            </c:strRef>
          </c:tx>
          <c:spPr>
            <a:solidFill>
              <a:schemeClr val="accent6"/>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composition'!$G$3:$G$15</c:f>
              <c:numCache>
                <c:formatCode>General</c:formatCode>
                <c:ptCount val="13"/>
                <c:pt idx="0">
                  <c:v>237817.23</c:v>
                </c:pt>
                <c:pt idx="1">
                  <c:v>258325.65</c:v>
                </c:pt>
                <c:pt idx="2">
                  <c:v>280322.5</c:v>
                </c:pt>
                <c:pt idx="3">
                  <c:v>340504.5</c:v>
                </c:pt>
                <c:pt idx="4">
                  <c:v>408091.43</c:v>
                </c:pt>
                <c:pt idx="5">
                  <c:v>461487.51</c:v>
                </c:pt>
                <c:pt idx="6">
                  <c:v>480348.14</c:v>
                </c:pt>
                <c:pt idx="7">
                  <c:v>470391.24</c:v>
                </c:pt>
                <c:pt idx="8">
                  <c:v>673100.48</c:v>
                </c:pt>
                <c:pt idx="9">
                  <c:v>808221.32</c:v>
                </c:pt>
                <c:pt idx="10">
                  <c:v>1010947.77</c:v>
                </c:pt>
                <c:pt idx="11">
                  <c:v>1199300</c:v>
                </c:pt>
                <c:pt idx="12">
                  <c:v>1357000</c:v>
                </c:pt>
              </c:numCache>
            </c:numRef>
          </c:val>
          <c:extLst>
            <c:ext xmlns:c16="http://schemas.microsoft.com/office/drawing/2014/chart" uri="{C3380CC4-5D6E-409C-BE32-E72D297353CC}">
              <c16:uniqueId val="{00000002-B117-4BE9-8BEA-C2E90A57EFA4}"/>
            </c:ext>
          </c:extLst>
        </c:ser>
        <c:ser>
          <c:idx val="6"/>
          <c:order val="6"/>
          <c:tx>
            <c:strRef>
              <c:f>'Tax Revenue composition'!$H$1:$H$2</c:f>
              <c:strCache>
                <c:ptCount val="1"/>
                <c:pt idx="0">
                  <c:v>Securities Transaction Tax</c:v>
                </c:pt>
              </c:strCache>
            </c:strRef>
          </c:tx>
          <c:spPr>
            <a:solidFill>
              <a:schemeClr val="accent1">
                <a:lumMod val="60000"/>
              </a:schemeClr>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composition'!$H$3:$H$15</c:f>
              <c:numCache>
                <c:formatCode>General</c:formatCode>
                <c:ptCount val="13"/>
                <c:pt idx="0">
                  <c:v>5017.5</c:v>
                </c:pt>
                <c:pt idx="1">
                  <c:v>7398.15</c:v>
                </c:pt>
                <c:pt idx="2">
                  <c:v>7350.12</c:v>
                </c:pt>
                <c:pt idx="3">
                  <c:v>8998.1200000000008</c:v>
                </c:pt>
                <c:pt idx="4">
                  <c:v>11881.4</c:v>
                </c:pt>
                <c:pt idx="5">
                  <c:v>11527.5</c:v>
                </c:pt>
                <c:pt idx="6">
                  <c:v>12374.23</c:v>
                </c:pt>
                <c:pt idx="7">
                  <c:v>16926.990000000002</c:v>
                </c:pt>
                <c:pt idx="8">
                  <c:v>23191.03</c:v>
                </c:pt>
                <c:pt idx="9">
                  <c:v>25085.37</c:v>
                </c:pt>
                <c:pt idx="10">
                  <c:v>33777.78</c:v>
                </c:pt>
                <c:pt idx="11">
                  <c:v>55000</c:v>
                </c:pt>
                <c:pt idx="12">
                  <c:v>78000</c:v>
                </c:pt>
              </c:numCache>
            </c:numRef>
          </c:val>
          <c:extLst>
            <c:ext xmlns:c16="http://schemas.microsoft.com/office/drawing/2014/chart" uri="{C3380CC4-5D6E-409C-BE32-E72D297353CC}">
              <c16:uniqueId val="{00000003-B117-4BE9-8BEA-C2E90A57EFA4}"/>
            </c:ext>
          </c:extLst>
        </c:ser>
        <c:ser>
          <c:idx val="7"/>
          <c:order val="7"/>
          <c:tx>
            <c:strRef>
              <c:f>'Tax Revenue composition'!$I$1:$I$2</c:f>
              <c:strCache>
                <c:ptCount val="1"/>
                <c:pt idx="0">
                  <c:v>Service Tax</c:v>
                </c:pt>
              </c:strCache>
            </c:strRef>
          </c:tx>
          <c:spPr>
            <a:solidFill>
              <a:schemeClr val="accent2">
                <a:lumMod val="60000"/>
              </a:schemeClr>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composition'!$I$3:$I$15</c:f>
              <c:numCache>
                <c:formatCode>General</c:formatCode>
                <c:ptCount val="13"/>
                <c:pt idx="0">
                  <c:v>154778.12</c:v>
                </c:pt>
                <c:pt idx="1">
                  <c:v>167969.04</c:v>
                </c:pt>
                <c:pt idx="2">
                  <c:v>211414.25</c:v>
                </c:pt>
                <c:pt idx="3">
                  <c:v>254498.74</c:v>
                </c:pt>
                <c:pt idx="4">
                  <c:v>81228.070000000007</c:v>
                </c:pt>
                <c:pt idx="5">
                  <c:v>6903.62</c:v>
                </c:pt>
                <c:pt idx="6">
                  <c:v>6029.11</c:v>
                </c:pt>
                <c:pt idx="7">
                  <c:v>1614.84</c:v>
                </c:pt>
                <c:pt idx="8">
                  <c:v>1011.82</c:v>
                </c:pt>
                <c:pt idx="9">
                  <c:v>430.77</c:v>
                </c:pt>
                <c:pt idx="10">
                  <c:v>424.96</c:v>
                </c:pt>
                <c:pt idx="11">
                  <c:v>100</c:v>
                </c:pt>
                <c:pt idx="12">
                  <c:v>100</c:v>
                </c:pt>
              </c:numCache>
            </c:numRef>
          </c:val>
          <c:extLst>
            <c:ext xmlns:c16="http://schemas.microsoft.com/office/drawing/2014/chart" uri="{C3380CC4-5D6E-409C-BE32-E72D297353CC}">
              <c16:uniqueId val="{00000004-B117-4BE9-8BEA-C2E90A57EFA4}"/>
            </c:ext>
          </c:extLst>
        </c:ser>
        <c:ser>
          <c:idx val="8"/>
          <c:order val="8"/>
          <c:tx>
            <c:strRef>
              <c:f>'Tax Revenue composition'!$J$1:$J$2</c:f>
              <c:strCache>
                <c:ptCount val="1"/>
                <c:pt idx="0">
                  <c:v>Union Excise Duties</c:v>
                </c:pt>
              </c:strCache>
            </c:strRef>
          </c:tx>
          <c:spPr>
            <a:solidFill>
              <a:schemeClr val="accent3">
                <a:lumMod val="60000"/>
              </a:schemeClr>
            </a:solidFill>
            <a:ln>
              <a:noFill/>
            </a:ln>
            <a:effectLst/>
          </c:spPr>
          <c:invertIfNegative val="0"/>
          <c:cat>
            <c:strRef>
              <c:f>'Tax Revenue composition'!$A$3:$A$15</c:f>
              <c:strCache>
                <c:ptCount val="13"/>
                <c:pt idx="0">
                  <c:v>(2013-14)</c:v>
                </c:pt>
                <c:pt idx="1">
                  <c:v>(2014-15)</c:v>
                </c:pt>
                <c:pt idx="2">
                  <c:v>( 2015-16)</c:v>
                </c:pt>
                <c:pt idx="3">
                  <c:v>(2016-17)</c:v>
                </c:pt>
                <c:pt idx="4">
                  <c:v>(2017-18)</c:v>
                </c:pt>
                <c:pt idx="5">
                  <c:v>( 2018-19)</c:v>
                </c:pt>
                <c:pt idx="6">
                  <c:v>(2019-20)</c:v>
                </c:pt>
                <c:pt idx="7">
                  <c:v>(2020-21)</c:v>
                </c:pt>
                <c:pt idx="8">
                  <c:v>(2021-22)</c:v>
                </c:pt>
                <c:pt idx="9">
                  <c:v>(2022-23)</c:v>
                </c:pt>
                <c:pt idx="10">
                  <c:v>(2023-24)</c:v>
                </c:pt>
                <c:pt idx="11">
                  <c:v>( RE 2024-25)</c:v>
                </c:pt>
                <c:pt idx="12">
                  <c:v>( BE 2025-26)</c:v>
                </c:pt>
              </c:strCache>
            </c:strRef>
          </c:cat>
          <c:val>
            <c:numRef>
              <c:f>'Tax Revenue composition'!$J$3:$J$15</c:f>
              <c:numCache>
                <c:formatCode>General</c:formatCode>
                <c:ptCount val="13"/>
                <c:pt idx="0">
                  <c:v>169455.14</c:v>
                </c:pt>
                <c:pt idx="1">
                  <c:v>188127.6</c:v>
                </c:pt>
                <c:pt idx="2">
                  <c:v>287148.55</c:v>
                </c:pt>
                <c:pt idx="3">
                  <c:v>380495.43</c:v>
                </c:pt>
                <c:pt idx="4">
                  <c:v>258635.93</c:v>
                </c:pt>
                <c:pt idx="5">
                  <c:v>230992.59</c:v>
                </c:pt>
                <c:pt idx="6">
                  <c:v>239452.43</c:v>
                </c:pt>
                <c:pt idx="7">
                  <c:v>389667.08</c:v>
                </c:pt>
                <c:pt idx="8">
                  <c:v>390808.07</c:v>
                </c:pt>
                <c:pt idx="9">
                  <c:v>319000.11</c:v>
                </c:pt>
                <c:pt idx="10">
                  <c:v>305362.18</c:v>
                </c:pt>
                <c:pt idx="11">
                  <c:v>305000</c:v>
                </c:pt>
                <c:pt idx="12">
                  <c:v>317000</c:v>
                </c:pt>
              </c:numCache>
            </c:numRef>
          </c:val>
          <c:extLst>
            <c:ext xmlns:c16="http://schemas.microsoft.com/office/drawing/2014/chart" uri="{C3380CC4-5D6E-409C-BE32-E72D297353CC}">
              <c16:uniqueId val="{00000005-B117-4BE9-8BEA-C2E90A57EFA4}"/>
            </c:ext>
          </c:extLst>
        </c:ser>
        <c:dLbls>
          <c:showLegendKey val="0"/>
          <c:showVal val="0"/>
          <c:showCatName val="0"/>
          <c:showSerName val="0"/>
          <c:showPercent val="0"/>
          <c:showBubbleSize val="0"/>
        </c:dLbls>
        <c:gapWidth val="150"/>
        <c:overlap val="100"/>
        <c:axId val="1305613056"/>
        <c:axId val="1082587744"/>
      </c:barChart>
      <c:catAx>
        <c:axId val="13056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82587744"/>
        <c:crosses val="autoZero"/>
        <c:auto val="1"/>
        <c:lblAlgn val="ctr"/>
        <c:lblOffset val="100"/>
        <c:noMultiLvlLbl val="0"/>
      </c:catAx>
      <c:valAx>
        <c:axId val="108258774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305613056"/>
        <c:crosses val="autoZero"/>
        <c:crossBetween val="between"/>
      </c:valAx>
      <c:spPr>
        <a:noFill/>
        <a:ln>
          <a:noFill/>
        </a:ln>
        <a:effectLst/>
      </c:spPr>
    </c:plotArea>
    <c:legend>
      <c:legendPos val="r"/>
      <c:layout>
        <c:manualLayout>
          <c:xMode val="edge"/>
          <c:yMode val="edge"/>
          <c:x val="0.81453997260215938"/>
          <c:y val="8.9860810014810499E-2"/>
          <c:w val="0.18546004276644684"/>
          <c:h val="0.51429462633581713"/>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 Defence spending!Pivot_Defence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Defence spending'!$B$1:$B$2</c:f>
              <c:strCache>
                <c:ptCount val="1"/>
                <c:pt idx="0">
                  <c:v>Defence Services</c:v>
                </c:pt>
              </c:strCache>
            </c:strRef>
          </c:tx>
          <c:spPr>
            <a:solidFill>
              <a:schemeClr val="bg2">
                <a:lumMod val="50000"/>
              </a:schemeClr>
            </a:solidFill>
            <a:ln>
              <a:noFill/>
            </a:ln>
            <a:effectLst/>
          </c:spPr>
          <c:invertIfNegative val="0"/>
          <c:cat>
            <c:strRef>
              <c:f>' Defence spending'!$A$3:$A$15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 Defence spending'!$B$3:$B$15</c:f>
              <c:numCache>
                <c:formatCode>General</c:formatCode>
                <c:ptCount val="13"/>
                <c:pt idx="0">
                  <c:v>79125.05</c:v>
                </c:pt>
                <c:pt idx="1">
                  <c:v>81886.98</c:v>
                </c:pt>
                <c:pt idx="2">
                  <c:v>79958.320000000007</c:v>
                </c:pt>
                <c:pt idx="3">
                  <c:v>86370.92</c:v>
                </c:pt>
                <c:pt idx="4">
                  <c:v>90445.24</c:v>
                </c:pt>
                <c:pt idx="5">
                  <c:v>95230.59</c:v>
                </c:pt>
                <c:pt idx="6">
                  <c:v>111092.43</c:v>
                </c:pt>
                <c:pt idx="7">
                  <c:v>134304.92000000001</c:v>
                </c:pt>
                <c:pt idx="8">
                  <c:v>137986.97</c:v>
                </c:pt>
                <c:pt idx="9">
                  <c:v>142940.01</c:v>
                </c:pt>
                <c:pt idx="10">
                  <c:v>154256.28</c:v>
                </c:pt>
                <c:pt idx="11">
                  <c:v>159500</c:v>
                </c:pt>
                <c:pt idx="12">
                  <c:v>180000</c:v>
                </c:pt>
              </c:numCache>
            </c:numRef>
          </c:val>
          <c:extLst>
            <c:ext xmlns:c16="http://schemas.microsoft.com/office/drawing/2014/chart" uri="{C3380CC4-5D6E-409C-BE32-E72D297353CC}">
              <c16:uniqueId val="{00000000-0B1D-4031-9290-1351311FAE40}"/>
            </c:ext>
          </c:extLst>
        </c:ser>
        <c:ser>
          <c:idx val="1"/>
          <c:order val="1"/>
          <c:tx>
            <c:strRef>
              <c:f>' Defence spending'!$C$1:$C$2</c:f>
              <c:strCache>
                <c:ptCount val="1"/>
                <c:pt idx="0">
                  <c:v>Air Force</c:v>
                </c:pt>
              </c:strCache>
            </c:strRef>
          </c:tx>
          <c:spPr>
            <a:solidFill>
              <a:schemeClr val="accent5">
                <a:lumMod val="40000"/>
                <a:lumOff val="60000"/>
              </a:schemeClr>
            </a:solidFill>
            <a:ln>
              <a:noFill/>
            </a:ln>
            <a:effectLst/>
          </c:spPr>
          <c:invertIfNegative val="0"/>
          <c:cat>
            <c:strRef>
              <c:f>' Defence spending'!$A$3:$A$15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 Defence spending'!$C$3:$C$15</c:f>
              <c:numCache>
                <c:formatCode>General</c:formatCode>
                <c:ptCount val="13"/>
                <c:pt idx="0">
                  <c:v>20160.27</c:v>
                </c:pt>
                <c:pt idx="1">
                  <c:v>22685.3</c:v>
                </c:pt>
                <c:pt idx="2">
                  <c:v>21848.9</c:v>
                </c:pt>
                <c:pt idx="3">
                  <c:v>25228.14</c:v>
                </c:pt>
                <c:pt idx="4">
                  <c:v>28418.799999999999</c:v>
                </c:pt>
                <c:pt idx="5">
                  <c:v>29370.54</c:v>
                </c:pt>
                <c:pt idx="6">
                  <c:v>31528.49</c:v>
                </c:pt>
                <c:pt idx="7">
                  <c:v>34615.96</c:v>
                </c:pt>
                <c:pt idx="8">
                  <c:v>35687.93</c:v>
                </c:pt>
                <c:pt idx="9">
                  <c:v>47455.55</c:v>
                </c:pt>
                <c:pt idx="10">
                  <c:v>54742.33</c:v>
                </c:pt>
                <c:pt idx="11">
                  <c:v>51876.77</c:v>
                </c:pt>
                <c:pt idx="12">
                  <c:v>55000</c:v>
                </c:pt>
              </c:numCache>
            </c:numRef>
          </c:val>
          <c:extLst>
            <c:ext xmlns:c16="http://schemas.microsoft.com/office/drawing/2014/chart" uri="{C3380CC4-5D6E-409C-BE32-E72D297353CC}">
              <c16:uniqueId val="{0000000E-31FA-4A53-A5C3-BFD8BF67EE00}"/>
            </c:ext>
          </c:extLst>
        </c:ser>
        <c:ser>
          <c:idx val="2"/>
          <c:order val="2"/>
          <c:tx>
            <c:strRef>
              <c:f>' Defence spending'!$D$1:$D$2</c:f>
              <c:strCache>
                <c:ptCount val="1"/>
                <c:pt idx="0">
                  <c:v>Army</c:v>
                </c:pt>
              </c:strCache>
            </c:strRef>
          </c:tx>
          <c:spPr>
            <a:solidFill>
              <a:schemeClr val="accent6">
                <a:lumMod val="75000"/>
              </a:schemeClr>
            </a:solidFill>
            <a:ln>
              <a:noFill/>
            </a:ln>
            <a:effectLst/>
          </c:spPr>
          <c:invertIfNegative val="0"/>
          <c:cat>
            <c:strRef>
              <c:f>' Defence spending'!$A$3:$A$15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 Defence spending'!$D$3:$D$15</c:f>
              <c:numCache>
                <c:formatCode>General</c:formatCode>
                <c:ptCount val="13"/>
                <c:pt idx="0">
                  <c:v>87750.54</c:v>
                </c:pt>
                <c:pt idx="1">
                  <c:v>99321.39</c:v>
                </c:pt>
                <c:pt idx="2">
                  <c:v>105994.58</c:v>
                </c:pt>
                <c:pt idx="3">
                  <c:v>120374.48</c:v>
                </c:pt>
                <c:pt idx="4">
                  <c:v>135362.35999999999</c:v>
                </c:pt>
                <c:pt idx="5">
                  <c:v>141829.60999999999</c:v>
                </c:pt>
                <c:pt idx="6">
                  <c:v>146821.92000000001</c:v>
                </c:pt>
                <c:pt idx="7">
                  <c:v>145181.03</c:v>
                </c:pt>
                <c:pt idx="8">
                  <c:v>161728.26999999999</c:v>
                </c:pt>
                <c:pt idx="9">
                  <c:v>175666.05</c:v>
                </c:pt>
                <c:pt idx="10">
                  <c:v>197020.12</c:v>
                </c:pt>
                <c:pt idx="11">
                  <c:v>204628.97</c:v>
                </c:pt>
                <c:pt idx="12">
                  <c:v>212030.78</c:v>
                </c:pt>
              </c:numCache>
            </c:numRef>
          </c:val>
          <c:extLst>
            <c:ext xmlns:c16="http://schemas.microsoft.com/office/drawing/2014/chart" uri="{C3380CC4-5D6E-409C-BE32-E72D297353CC}">
              <c16:uniqueId val="{0000000F-31FA-4A53-A5C3-BFD8BF67EE00}"/>
            </c:ext>
          </c:extLst>
        </c:ser>
        <c:ser>
          <c:idx val="3"/>
          <c:order val="3"/>
          <c:tx>
            <c:strRef>
              <c:f>' Defence spending'!$E$1:$E$2</c:f>
              <c:strCache>
                <c:ptCount val="1"/>
                <c:pt idx="0">
                  <c:v>Navy</c:v>
                </c:pt>
              </c:strCache>
            </c:strRef>
          </c:tx>
          <c:spPr>
            <a:solidFill>
              <a:schemeClr val="accent1">
                <a:lumMod val="50000"/>
              </a:schemeClr>
            </a:solidFill>
            <a:ln>
              <a:noFill/>
            </a:ln>
            <a:effectLst/>
          </c:spPr>
          <c:invertIfNegative val="0"/>
          <c:cat>
            <c:strRef>
              <c:f>' Defence spending'!$A$3:$A$15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 Defence spending'!$E$3:$E$15</c:f>
              <c:numCache>
                <c:formatCode>General</c:formatCode>
                <c:ptCount val="13"/>
                <c:pt idx="0">
                  <c:v>13472.26</c:v>
                </c:pt>
                <c:pt idx="1">
                  <c:v>14352</c:v>
                </c:pt>
                <c:pt idx="2">
                  <c:v>15320.81</c:v>
                </c:pt>
                <c:pt idx="3">
                  <c:v>17469.27</c:v>
                </c:pt>
                <c:pt idx="4">
                  <c:v>19344.87</c:v>
                </c:pt>
                <c:pt idx="5">
                  <c:v>21738.880000000001</c:v>
                </c:pt>
                <c:pt idx="6">
                  <c:v>23087.69</c:v>
                </c:pt>
                <c:pt idx="7">
                  <c:v>24710.34</c:v>
                </c:pt>
                <c:pt idx="8">
                  <c:v>24426.52</c:v>
                </c:pt>
                <c:pt idx="9">
                  <c:v>31343.599999999999</c:v>
                </c:pt>
                <c:pt idx="10">
                  <c:v>35147.800000000003</c:v>
                </c:pt>
                <c:pt idx="11">
                  <c:v>36557.31</c:v>
                </c:pt>
                <c:pt idx="12">
                  <c:v>39019.800000000003</c:v>
                </c:pt>
              </c:numCache>
            </c:numRef>
          </c:val>
          <c:extLst>
            <c:ext xmlns:c16="http://schemas.microsoft.com/office/drawing/2014/chart" uri="{C3380CC4-5D6E-409C-BE32-E72D297353CC}">
              <c16:uniqueId val="{00000010-31FA-4A53-A5C3-BFD8BF67EE00}"/>
            </c:ext>
          </c:extLst>
        </c:ser>
        <c:ser>
          <c:idx val="4"/>
          <c:order val="4"/>
          <c:tx>
            <c:strRef>
              <c:f>' Defence spending'!$F$1:$F$2</c:f>
              <c:strCache>
                <c:ptCount val="1"/>
                <c:pt idx="0">
                  <c:v>R&amp;D</c:v>
                </c:pt>
              </c:strCache>
            </c:strRef>
          </c:tx>
          <c:spPr>
            <a:solidFill>
              <a:schemeClr val="accent2"/>
            </a:solidFill>
            <a:ln>
              <a:noFill/>
            </a:ln>
            <a:effectLst/>
          </c:spPr>
          <c:invertIfNegative val="0"/>
          <c:cat>
            <c:strRef>
              <c:f>' Defence spending'!$A$3:$A$15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 Defence spending'!$F$3:$F$15</c:f>
              <c:numCache>
                <c:formatCode>General</c:formatCode>
                <c:ptCount val="13"/>
                <c:pt idx="0">
                  <c:v>5696.32</c:v>
                </c:pt>
                <c:pt idx="1">
                  <c:v>6237.08</c:v>
                </c:pt>
                <c:pt idx="2">
                  <c:v>6183.9</c:v>
                </c:pt>
                <c:pt idx="3">
                  <c:v>6963.69</c:v>
                </c:pt>
                <c:pt idx="4">
                  <c:v>8033.79</c:v>
                </c:pt>
                <c:pt idx="5">
                  <c:v>8431.44</c:v>
                </c:pt>
                <c:pt idx="6">
                  <c:v>9086.14</c:v>
                </c:pt>
                <c:pt idx="7">
                  <c:v>8350.77</c:v>
                </c:pt>
                <c:pt idx="8">
                  <c:v>8406.2199999999993</c:v>
                </c:pt>
                <c:pt idx="9">
                  <c:v>9407.7900000000009</c:v>
                </c:pt>
                <c:pt idx="10">
                  <c:v>10427.48</c:v>
                </c:pt>
                <c:pt idx="11">
                  <c:v>11330.01</c:v>
                </c:pt>
                <c:pt idx="12">
                  <c:v>12193</c:v>
                </c:pt>
              </c:numCache>
            </c:numRef>
          </c:val>
          <c:extLst>
            <c:ext xmlns:c16="http://schemas.microsoft.com/office/drawing/2014/chart" uri="{C3380CC4-5D6E-409C-BE32-E72D297353CC}">
              <c16:uniqueId val="{00000012-31FA-4A53-A5C3-BFD8BF67EE00}"/>
            </c:ext>
          </c:extLst>
        </c:ser>
        <c:dLbls>
          <c:showLegendKey val="0"/>
          <c:showVal val="0"/>
          <c:showCatName val="0"/>
          <c:showSerName val="0"/>
          <c:showPercent val="0"/>
          <c:showBubbleSize val="0"/>
        </c:dLbls>
        <c:gapWidth val="150"/>
        <c:overlap val="100"/>
        <c:axId val="759492591"/>
        <c:axId val="759501327"/>
      </c:barChart>
      <c:catAx>
        <c:axId val="75949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01327"/>
        <c:crosses val="autoZero"/>
        <c:auto val="1"/>
        <c:lblAlgn val="ctr"/>
        <c:lblOffset val="100"/>
        <c:noMultiLvlLbl val="0"/>
      </c:catAx>
      <c:valAx>
        <c:axId val="75950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92591"/>
        <c:crosses val="autoZero"/>
        <c:crossBetween val="between"/>
      </c:valAx>
      <c:spPr>
        <a:noFill/>
        <a:ln>
          <a:noFill/>
        </a:ln>
        <a:effectLst/>
      </c:spPr>
    </c:plotArea>
    <c:legend>
      <c:legendPos val="r"/>
      <c:layout>
        <c:manualLayout>
          <c:xMode val="edge"/>
          <c:yMode val="edge"/>
          <c:x val="0.87844282933289897"/>
          <c:y val="0.3084190850177207"/>
          <c:w val="0.11010774882752487"/>
          <c:h val="0.408154208824927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Proj.xlsx]Capital Expenditure breakdown!Pivot_CapEx</c:name>
    <c:fmtId val="0"/>
  </c:pivotSource>
  <c:chart>
    <c:autoTitleDeleted val="0"/>
    <c:pivotFmts>
      <c:pivotFmt>
        <c:idx val="0"/>
        <c:spPr>
          <a:solidFill>
            <a:schemeClr val="accent1"/>
          </a:solidFill>
          <a:ln w="25400">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7030A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87055675589809E-2"/>
          <c:y val="0.12924961221452799"/>
          <c:w val="0.64567346408445592"/>
          <c:h val="0.77730489646475931"/>
        </c:manualLayout>
      </c:layout>
      <c:areaChart>
        <c:grouping val="stacked"/>
        <c:varyColors val="0"/>
        <c:ser>
          <c:idx val="0"/>
          <c:order val="0"/>
          <c:tx>
            <c:strRef>
              <c:f>'Capital Expenditure breakdown'!$B$3:$B$5</c:f>
              <c:strCache>
                <c:ptCount val="1"/>
                <c:pt idx="0">
                  <c:v>Capital Expenditure - Economic Services</c:v>
                </c:pt>
              </c:strCache>
            </c:strRef>
          </c:tx>
          <c:spPr>
            <a:solidFill>
              <a:schemeClr val="accent1"/>
            </a:solidFill>
            <a:ln>
              <a:noFill/>
            </a:ln>
            <a:effectLst/>
          </c:spPr>
          <c:cat>
            <c:strRef>
              <c:f>'Capital Expenditure breakdown'!$A$6:$A$18</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'Capital Expenditure breakdown'!$B$6:$B$18</c:f>
              <c:numCache>
                <c:formatCode>General</c:formatCode>
                <c:ptCount val="13"/>
                <c:pt idx="0">
                  <c:v>213379.83000000002</c:v>
                </c:pt>
                <c:pt idx="1">
                  <c:v>209263.81</c:v>
                </c:pt>
                <c:pt idx="2">
                  <c:v>450985.07</c:v>
                </c:pt>
                <c:pt idx="3">
                  <c:v>400976.72</c:v>
                </c:pt>
                <c:pt idx="4">
                  <c:v>595292.47</c:v>
                </c:pt>
                <c:pt idx="5">
                  <c:v>781370.21</c:v>
                </c:pt>
                <c:pt idx="6">
                  <c:v>708946.87</c:v>
                </c:pt>
                <c:pt idx="7">
                  <c:v>532931.15</c:v>
                </c:pt>
                <c:pt idx="8">
                  <c:v>1059245.2999999998</c:v>
                </c:pt>
                <c:pt idx="9">
                  <c:v>1208979.94</c:v>
                </c:pt>
                <c:pt idx="10">
                  <c:v>1697221.53</c:v>
                </c:pt>
                <c:pt idx="11">
                  <c:v>1720934.7900000003</c:v>
                </c:pt>
                <c:pt idx="12">
                  <c:v>1899102.3800000001</c:v>
                </c:pt>
              </c:numCache>
            </c:numRef>
          </c:val>
          <c:extLst>
            <c:ext xmlns:c16="http://schemas.microsoft.com/office/drawing/2014/chart" uri="{C3380CC4-5D6E-409C-BE32-E72D297353CC}">
              <c16:uniqueId val="{00000000-E4F5-47E5-AF95-26E6BE90928D}"/>
            </c:ext>
          </c:extLst>
        </c:ser>
        <c:ser>
          <c:idx val="1"/>
          <c:order val="1"/>
          <c:tx>
            <c:strRef>
              <c:f>'Capital Expenditure breakdown'!$C$3:$C$5</c:f>
              <c:strCache>
                <c:ptCount val="1"/>
                <c:pt idx="0">
                  <c:v>Capital Expenditure - General Services</c:v>
                </c:pt>
              </c:strCache>
            </c:strRef>
          </c:tx>
          <c:spPr>
            <a:solidFill>
              <a:schemeClr val="accent2"/>
            </a:solidFill>
            <a:ln w="25400">
              <a:noFill/>
            </a:ln>
            <a:effectLst/>
          </c:spPr>
          <c:cat>
            <c:strRef>
              <c:f>'Capital Expenditure breakdown'!$A$6:$A$18</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'Capital Expenditure breakdown'!$C$6:$C$18</c:f>
              <c:numCache>
                <c:formatCode>General</c:formatCode>
                <c:ptCount val="13"/>
                <c:pt idx="0">
                  <c:v>167025.27000000002</c:v>
                </c:pt>
                <c:pt idx="1">
                  <c:v>171882.23999999999</c:v>
                </c:pt>
                <c:pt idx="2">
                  <c:v>171420.58000000002</c:v>
                </c:pt>
                <c:pt idx="3">
                  <c:v>185553.97</c:v>
                </c:pt>
                <c:pt idx="4">
                  <c:v>196798</c:v>
                </c:pt>
                <c:pt idx="5">
                  <c:v>208151.97999999998</c:v>
                </c:pt>
                <c:pt idx="6">
                  <c:v>235899.84999999998</c:v>
                </c:pt>
                <c:pt idx="7">
                  <c:v>277050.57</c:v>
                </c:pt>
                <c:pt idx="8">
                  <c:v>291763.87</c:v>
                </c:pt>
                <c:pt idx="9">
                  <c:v>304127.5</c:v>
                </c:pt>
                <c:pt idx="10">
                  <c:v>331743.93</c:v>
                </c:pt>
                <c:pt idx="11">
                  <c:v>342091.24</c:v>
                </c:pt>
                <c:pt idx="12">
                  <c:v>389088.88</c:v>
                </c:pt>
              </c:numCache>
            </c:numRef>
          </c:val>
          <c:extLst>
            <c:ext xmlns:c16="http://schemas.microsoft.com/office/drawing/2014/chart" uri="{C3380CC4-5D6E-409C-BE32-E72D297353CC}">
              <c16:uniqueId val="{00000004-DED7-4861-AFFA-2DF7AA5E60AE}"/>
            </c:ext>
          </c:extLst>
        </c:ser>
        <c:ser>
          <c:idx val="2"/>
          <c:order val="2"/>
          <c:tx>
            <c:strRef>
              <c:f>'Capital Expenditure breakdown'!$D$3:$D$5</c:f>
              <c:strCache>
                <c:ptCount val="1"/>
                <c:pt idx="0">
                  <c:v>Capital Expenditure - Social Services</c:v>
                </c:pt>
              </c:strCache>
            </c:strRef>
          </c:tx>
          <c:spPr>
            <a:solidFill>
              <a:srgbClr val="7030A0"/>
            </a:solidFill>
            <a:ln w="25400">
              <a:noFill/>
            </a:ln>
            <a:effectLst/>
          </c:spPr>
          <c:cat>
            <c:strRef>
              <c:f>'Capital Expenditure breakdown'!$A$6:$A$18</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'Capital Expenditure breakdown'!$D$6:$D$18</c:f>
              <c:numCache>
                <c:formatCode>General</c:formatCode>
                <c:ptCount val="13"/>
                <c:pt idx="0">
                  <c:v>3386.56</c:v>
                </c:pt>
                <c:pt idx="1">
                  <c:v>4347.51</c:v>
                </c:pt>
                <c:pt idx="2">
                  <c:v>4903.24</c:v>
                </c:pt>
                <c:pt idx="3">
                  <c:v>4537.33</c:v>
                </c:pt>
                <c:pt idx="4">
                  <c:v>8749.6</c:v>
                </c:pt>
                <c:pt idx="5">
                  <c:v>9148.85</c:v>
                </c:pt>
                <c:pt idx="6">
                  <c:v>9492.19</c:v>
                </c:pt>
                <c:pt idx="7">
                  <c:v>7109.9</c:v>
                </c:pt>
                <c:pt idx="8">
                  <c:v>9445.11</c:v>
                </c:pt>
                <c:pt idx="9">
                  <c:v>12166.45</c:v>
                </c:pt>
                <c:pt idx="10">
                  <c:v>8587.4500000000007</c:v>
                </c:pt>
                <c:pt idx="11">
                  <c:v>11503.31</c:v>
                </c:pt>
                <c:pt idx="12">
                  <c:v>11186.3</c:v>
                </c:pt>
              </c:numCache>
            </c:numRef>
          </c:val>
          <c:extLst>
            <c:ext xmlns:c16="http://schemas.microsoft.com/office/drawing/2014/chart" uri="{C3380CC4-5D6E-409C-BE32-E72D297353CC}">
              <c16:uniqueId val="{00000006-DED7-4861-AFFA-2DF7AA5E60AE}"/>
            </c:ext>
          </c:extLst>
        </c:ser>
        <c:dLbls>
          <c:showLegendKey val="0"/>
          <c:showVal val="0"/>
          <c:showCatName val="0"/>
          <c:showSerName val="0"/>
          <c:showPercent val="0"/>
          <c:showBubbleSize val="0"/>
        </c:dLbls>
        <c:axId val="1608517775"/>
        <c:axId val="1608518607"/>
      </c:areaChart>
      <c:catAx>
        <c:axId val="1608517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18607"/>
        <c:crosses val="autoZero"/>
        <c:auto val="1"/>
        <c:lblAlgn val="ctr"/>
        <c:lblOffset val="100"/>
        <c:noMultiLvlLbl val="0"/>
      </c:catAx>
      <c:valAx>
        <c:axId val="160851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177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Proj.xlsx]debt!Pivot_Debt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pivotFmt>
      <c:pivotFmt>
        <c:idx val="1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9198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debt!$B$4:$B$6</c:f>
              <c:strCache>
                <c:ptCount val="1"/>
                <c:pt idx="0">
                  <c:v>Capital Receipts - 182 Days Treasury Bills</c:v>
                </c:pt>
              </c:strCache>
            </c:strRef>
          </c:tx>
          <c:spPr>
            <a:solidFill>
              <a:srgbClr val="7030A0"/>
            </a:solidFill>
            <a:ln>
              <a:noFill/>
            </a:ln>
            <a:effectLst/>
          </c:spPr>
          <c:invertIfNegative val="0"/>
          <c:cat>
            <c:strRef>
              <c:f>debt!$A$7:$A$19</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debt!$B$7:$B$19</c:f>
              <c:numCache>
                <c:formatCode>General</c:formatCode>
                <c:ptCount val="13"/>
                <c:pt idx="0">
                  <c:v>137520.26</c:v>
                </c:pt>
                <c:pt idx="1">
                  <c:v>147608.18</c:v>
                </c:pt>
                <c:pt idx="2">
                  <c:v>162188.60999999999</c:v>
                </c:pt>
                <c:pt idx="3">
                  <c:v>174035.07</c:v>
                </c:pt>
                <c:pt idx="4">
                  <c:v>185416.61</c:v>
                </c:pt>
                <c:pt idx="5">
                  <c:v>258020.06</c:v>
                </c:pt>
                <c:pt idx="6">
                  <c:v>321689.3</c:v>
                </c:pt>
                <c:pt idx="7">
                  <c:v>488606.87</c:v>
                </c:pt>
                <c:pt idx="8">
                  <c:v>465678.81</c:v>
                </c:pt>
                <c:pt idx="9">
                  <c:v>549240.87</c:v>
                </c:pt>
                <c:pt idx="10">
                  <c:v>571191.61</c:v>
                </c:pt>
                <c:pt idx="11">
                  <c:v>394007.06</c:v>
                </c:pt>
                <c:pt idx="12">
                  <c:v>484082.34</c:v>
                </c:pt>
              </c:numCache>
            </c:numRef>
          </c:val>
          <c:extLst>
            <c:ext xmlns:c16="http://schemas.microsoft.com/office/drawing/2014/chart" uri="{C3380CC4-5D6E-409C-BE32-E72D297353CC}">
              <c16:uniqueId val="{00000000-CFD4-4284-BFD2-A38B9132ED23}"/>
            </c:ext>
          </c:extLst>
        </c:ser>
        <c:ser>
          <c:idx val="1"/>
          <c:order val="1"/>
          <c:tx>
            <c:strRef>
              <c:f>debt!$C$4:$C$6</c:f>
              <c:strCache>
                <c:ptCount val="1"/>
                <c:pt idx="0">
                  <c:v>Capital Receipts - 364 Days Treasury Bills</c:v>
                </c:pt>
              </c:strCache>
            </c:strRef>
          </c:tx>
          <c:spPr>
            <a:solidFill>
              <a:schemeClr val="accent2"/>
            </a:solidFill>
            <a:ln>
              <a:noFill/>
            </a:ln>
            <a:effectLst/>
          </c:spPr>
          <c:invertIfNegative val="0"/>
          <c:cat>
            <c:strRef>
              <c:f>debt!$A$7:$A$19</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debt!$C$7:$C$19</c:f>
              <c:numCache>
                <c:formatCode>General</c:formatCode>
                <c:ptCount val="13"/>
                <c:pt idx="0">
                  <c:v>136956.26</c:v>
                </c:pt>
                <c:pt idx="1">
                  <c:v>149200.68</c:v>
                </c:pt>
                <c:pt idx="2">
                  <c:v>154033.20000000001</c:v>
                </c:pt>
                <c:pt idx="3">
                  <c:v>142525.75</c:v>
                </c:pt>
                <c:pt idx="4">
                  <c:v>159685</c:v>
                </c:pt>
                <c:pt idx="5">
                  <c:v>208896</c:v>
                </c:pt>
                <c:pt idx="6">
                  <c:v>217670</c:v>
                </c:pt>
                <c:pt idx="7">
                  <c:v>458240</c:v>
                </c:pt>
                <c:pt idx="8">
                  <c:v>407796.43</c:v>
                </c:pt>
                <c:pt idx="9">
                  <c:v>445283.5</c:v>
                </c:pt>
                <c:pt idx="10">
                  <c:v>457486.99</c:v>
                </c:pt>
                <c:pt idx="11">
                  <c:v>360809.92</c:v>
                </c:pt>
                <c:pt idx="12">
                  <c:v>360809.92</c:v>
                </c:pt>
              </c:numCache>
            </c:numRef>
          </c:val>
          <c:extLst>
            <c:ext xmlns:c16="http://schemas.microsoft.com/office/drawing/2014/chart" uri="{C3380CC4-5D6E-409C-BE32-E72D297353CC}">
              <c16:uniqueId val="{00000001-CFD4-4284-BFD2-A38B9132ED23}"/>
            </c:ext>
          </c:extLst>
        </c:ser>
        <c:ser>
          <c:idx val="2"/>
          <c:order val="2"/>
          <c:tx>
            <c:strRef>
              <c:f>debt!$D$4:$D$6</c:f>
              <c:strCache>
                <c:ptCount val="1"/>
                <c:pt idx="0">
                  <c:v>Capital Receipts - 91 Days Treasury Bills</c:v>
                </c:pt>
              </c:strCache>
            </c:strRef>
          </c:tx>
          <c:spPr>
            <a:solidFill>
              <a:srgbClr val="00B050"/>
            </a:solidFill>
            <a:ln>
              <a:noFill/>
            </a:ln>
            <a:effectLst/>
          </c:spPr>
          <c:invertIfNegative val="0"/>
          <c:cat>
            <c:strRef>
              <c:f>debt!$A$7:$A$19</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debt!$D$7:$D$19</c:f>
              <c:numCache>
                <c:formatCode>General</c:formatCode>
                <c:ptCount val="13"/>
                <c:pt idx="0">
                  <c:v>580087.59</c:v>
                </c:pt>
                <c:pt idx="1">
                  <c:v>670312.98</c:v>
                </c:pt>
                <c:pt idx="2">
                  <c:v>686666.71</c:v>
                </c:pt>
                <c:pt idx="3">
                  <c:v>664567.49</c:v>
                </c:pt>
                <c:pt idx="4">
                  <c:v>774059.95</c:v>
                </c:pt>
                <c:pt idx="5">
                  <c:v>660165.24</c:v>
                </c:pt>
                <c:pt idx="6">
                  <c:v>639472.68000000005</c:v>
                </c:pt>
                <c:pt idx="7">
                  <c:v>743488.03</c:v>
                </c:pt>
                <c:pt idx="8">
                  <c:v>847904.18</c:v>
                </c:pt>
                <c:pt idx="9">
                  <c:v>715950.53</c:v>
                </c:pt>
                <c:pt idx="10">
                  <c:v>644427.47</c:v>
                </c:pt>
                <c:pt idx="11">
                  <c:v>747644.75</c:v>
                </c:pt>
                <c:pt idx="12">
                  <c:v>606191.25</c:v>
                </c:pt>
              </c:numCache>
            </c:numRef>
          </c:val>
          <c:extLst>
            <c:ext xmlns:c16="http://schemas.microsoft.com/office/drawing/2014/chart" uri="{C3380CC4-5D6E-409C-BE32-E72D297353CC}">
              <c16:uniqueId val="{00000002-CFD4-4284-BFD2-A38B9132ED23}"/>
            </c:ext>
          </c:extLst>
        </c:ser>
        <c:ser>
          <c:idx val="3"/>
          <c:order val="3"/>
          <c:tx>
            <c:strRef>
              <c:f>debt!$E$4:$E$6</c:f>
              <c:strCache>
                <c:ptCount val="1"/>
                <c:pt idx="0">
                  <c:v>Capital Receipts - External Debt</c:v>
                </c:pt>
              </c:strCache>
            </c:strRef>
          </c:tx>
          <c:spPr>
            <a:solidFill>
              <a:srgbClr val="C00000"/>
            </a:solidFill>
            <a:ln>
              <a:noFill/>
            </a:ln>
            <a:effectLst/>
          </c:spPr>
          <c:invertIfNegative val="0"/>
          <c:cat>
            <c:strRef>
              <c:f>debt!$A$7:$A$19</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debt!$E$7:$E$19</c:f>
              <c:numCache>
                <c:formatCode>General</c:formatCode>
                <c:ptCount val="13"/>
                <c:pt idx="0">
                  <c:v>25416.23</c:v>
                </c:pt>
                <c:pt idx="1">
                  <c:v>33533.89</c:v>
                </c:pt>
                <c:pt idx="2">
                  <c:v>36053.72</c:v>
                </c:pt>
                <c:pt idx="3">
                  <c:v>44191.49</c:v>
                </c:pt>
                <c:pt idx="4">
                  <c:v>48516.74</c:v>
                </c:pt>
                <c:pt idx="5">
                  <c:v>50609.440000000002</c:v>
                </c:pt>
                <c:pt idx="6">
                  <c:v>63180.3</c:v>
                </c:pt>
                <c:pt idx="7">
                  <c:v>123937.57</c:v>
                </c:pt>
                <c:pt idx="8">
                  <c:v>86664.57</c:v>
                </c:pt>
                <c:pt idx="9">
                  <c:v>93731.28</c:v>
                </c:pt>
                <c:pt idx="10">
                  <c:v>120429.2</c:v>
                </c:pt>
                <c:pt idx="11">
                  <c:v>107711.53</c:v>
                </c:pt>
                <c:pt idx="12">
                  <c:v>111013.36</c:v>
                </c:pt>
              </c:numCache>
            </c:numRef>
          </c:val>
          <c:extLst>
            <c:ext xmlns:c16="http://schemas.microsoft.com/office/drawing/2014/chart" uri="{C3380CC4-5D6E-409C-BE32-E72D297353CC}">
              <c16:uniqueId val="{00000003-CFD4-4284-BFD2-A38B9132ED23}"/>
            </c:ext>
          </c:extLst>
        </c:ser>
        <c:ser>
          <c:idx val="4"/>
          <c:order val="4"/>
          <c:tx>
            <c:strRef>
              <c:f>debt!$F$4:$F$6</c:f>
              <c:strCache>
                <c:ptCount val="1"/>
                <c:pt idx="0">
                  <c:v>Capital Receipts - Market Loans</c:v>
                </c:pt>
              </c:strCache>
            </c:strRef>
          </c:tx>
          <c:spPr>
            <a:solidFill>
              <a:srgbClr val="191981"/>
            </a:solidFill>
            <a:ln>
              <a:noFill/>
            </a:ln>
            <a:effectLst/>
          </c:spPr>
          <c:invertIfNegative val="0"/>
          <c:cat>
            <c:strRef>
              <c:f>debt!$A$7:$A$19</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debt!$F$7:$F$19</c:f>
              <c:numCache>
                <c:formatCode>General</c:formatCode>
                <c:ptCount val="13"/>
                <c:pt idx="0">
                  <c:v>563674.67000000004</c:v>
                </c:pt>
                <c:pt idx="1">
                  <c:v>592000</c:v>
                </c:pt>
                <c:pt idx="2">
                  <c:v>585000</c:v>
                </c:pt>
                <c:pt idx="3">
                  <c:v>583045</c:v>
                </c:pt>
                <c:pt idx="4">
                  <c:v>588000</c:v>
                </c:pt>
                <c:pt idx="5">
                  <c:v>571000</c:v>
                </c:pt>
                <c:pt idx="6">
                  <c:v>710000</c:v>
                </c:pt>
                <c:pt idx="7">
                  <c:v>1260115.73</c:v>
                </c:pt>
                <c:pt idx="8">
                  <c:v>968381.54</c:v>
                </c:pt>
                <c:pt idx="9">
                  <c:v>1421000</c:v>
                </c:pt>
                <c:pt idx="10">
                  <c:v>1543000</c:v>
                </c:pt>
                <c:pt idx="11">
                  <c:v>1400697.4</c:v>
                </c:pt>
                <c:pt idx="12">
                  <c:v>1482000</c:v>
                </c:pt>
              </c:numCache>
            </c:numRef>
          </c:val>
          <c:extLst>
            <c:ext xmlns:c16="http://schemas.microsoft.com/office/drawing/2014/chart" uri="{C3380CC4-5D6E-409C-BE32-E72D297353CC}">
              <c16:uniqueId val="{00000004-CFD4-4284-BFD2-A38B9132ED23}"/>
            </c:ext>
          </c:extLst>
        </c:ser>
        <c:dLbls>
          <c:showLegendKey val="0"/>
          <c:showVal val="0"/>
          <c:showCatName val="0"/>
          <c:showSerName val="0"/>
          <c:showPercent val="0"/>
          <c:showBubbleSize val="0"/>
        </c:dLbls>
        <c:gapWidth val="150"/>
        <c:overlap val="100"/>
        <c:axId val="1619867583"/>
        <c:axId val="1619868831"/>
      </c:barChart>
      <c:catAx>
        <c:axId val="161986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868831"/>
        <c:crosses val="autoZero"/>
        <c:auto val="1"/>
        <c:lblAlgn val="ctr"/>
        <c:lblOffset val="100"/>
        <c:noMultiLvlLbl val="0"/>
      </c:catAx>
      <c:valAx>
        <c:axId val="1619868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86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Public Debt Borrowing vs Repayment 2013–2026 (₹ Crore)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debt!$N$4</c:f>
              <c:strCache>
                <c:ptCount val="1"/>
                <c:pt idx="0">
                  <c:v>Total Public Debt</c:v>
                </c:pt>
              </c:strCache>
            </c:strRef>
          </c:tx>
          <c:spPr>
            <a:solidFill>
              <a:schemeClr val="accent1"/>
            </a:solidFill>
            <a:ln>
              <a:noFill/>
            </a:ln>
            <a:effectLst/>
          </c:spPr>
          <c:invertIfNegative val="0"/>
          <c:cat>
            <c:strRef>
              <c:f>debt!$M$5:$M$17</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debt!$N$5:$N$17</c:f>
              <c:numCache>
                <c:formatCode>#,##0</c:formatCode>
                <c:ptCount val="13"/>
                <c:pt idx="0">
                  <c:v>3994966</c:v>
                </c:pt>
                <c:pt idx="1">
                  <c:v>4218196</c:v>
                </c:pt>
                <c:pt idx="2">
                  <c:v>4316950</c:v>
                </c:pt>
                <c:pt idx="3">
                  <c:v>6134137</c:v>
                </c:pt>
                <c:pt idx="4">
                  <c:v>6554002</c:v>
                </c:pt>
                <c:pt idx="5">
                  <c:v>6758482</c:v>
                </c:pt>
                <c:pt idx="6">
                  <c:v>7301387</c:v>
                </c:pt>
                <c:pt idx="7">
                  <c:v>8162910</c:v>
                </c:pt>
                <c:pt idx="8">
                  <c:v>8249152</c:v>
                </c:pt>
                <c:pt idx="9">
                  <c:v>8864893</c:v>
                </c:pt>
                <c:pt idx="10">
                  <c:v>9160050</c:v>
                </c:pt>
                <c:pt idx="11">
                  <c:v>9693665</c:v>
                </c:pt>
                <c:pt idx="12">
                  <c:v>10566349</c:v>
                </c:pt>
              </c:numCache>
            </c:numRef>
          </c:val>
          <c:extLst>
            <c:ext xmlns:c16="http://schemas.microsoft.com/office/drawing/2014/chart" uri="{C3380CC4-5D6E-409C-BE32-E72D297353CC}">
              <c16:uniqueId val="{00000000-C45D-4CB2-B234-B1010DC5071E}"/>
            </c:ext>
          </c:extLst>
        </c:ser>
        <c:ser>
          <c:idx val="1"/>
          <c:order val="1"/>
          <c:tx>
            <c:strRef>
              <c:f>debt!$O$4</c:f>
              <c:strCache>
                <c:ptCount val="1"/>
                <c:pt idx="0">
                  <c:v>Total Public Debt Repayment</c:v>
                </c:pt>
              </c:strCache>
            </c:strRef>
          </c:tx>
          <c:spPr>
            <a:solidFill>
              <a:schemeClr val="accent2"/>
            </a:solidFill>
            <a:ln>
              <a:noFill/>
            </a:ln>
            <a:effectLst/>
          </c:spPr>
          <c:invertIfNegative val="0"/>
          <c:cat>
            <c:strRef>
              <c:f>debt!$M$5:$M$17</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debt!$O$5:$O$17</c:f>
              <c:numCache>
                <c:formatCode>#,##0</c:formatCode>
                <c:ptCount val="13"/>
                <c:pt idx="0">
                  <c:v>3511291</c:v>
                </c:pt>
                <c:pt idx="1">
                  <c:v>3707700</c:v>
                </c:pt>
                <c:pt idx="2">
                  <c:v>3737657</c:v>
                </c:pt>
                <c:pt idx="3">
                  <c:v>5678823</c:v>
                </c:pt>
                <c:pt idx="4">
                  <c:v>5872605</c:v>
                </c:pt>
                <c:pt idx="5">
                  <c:v>6064945</c:v>
                </c:pt>
                <c:pt idx="6">
                  <c:v>6326549</c:v>
                </c:pt>
                <c:pt idx="7">
                  <c:v>6184635</c:v>
                </c:pt>
                <c:pt idx="8">
                  <c:v>6645468</c:v>
                </c:pt>
                <c:pt idx="9">
                  <c:v>7199701</c:v>
                </c:pt>
                <c:pt idx="10">
                  <c:v>7462493</c:v>
                </c:pt>
                <c:pt idx="11">
                  <c:v>8407558</c:v>
                </c:pt>
                <c:pt idx="12">
                  <c:v>9038648</c:v>
                </c:pt>
              </c:numCache>
            </c:numRef>
          </c:val>
          <c:extLst>
            <c:ext xmlns:c16="http://schemas.microsoft.com/office/drawing/2014/chart" uri="{C3380CC4-5D6E-409C-BE32-E72D297353CC}">
              <c16:uniqueId val="{00000001-C45D-4CB2-B234-B1010DC5071E}"/>
            </c:ext>
          </c:extLst>
        </c:ser>
        <c:dLbls>
          <c:showLegendKey val="0"/>
          <c:showVal val="0"/>
          <c:showCatName val="0"/>
          <c:showSerName val="0"/>
          <c:showPercent val="0"/>
          <c:showBubbleSize val="0"/>
        </c:dLbls>
        <c:gapWidth val="219"/>
        <c:overlap val="-27"/>
        <c:axId val="1858133359"/>
        <c:axId val="1858133775"/>
      </c:barChart>
      <c:lineChart>
        <c:grouping val="standard"/>
        <c:varyColors val="0"/>
        <c:ser>
          <c:idx val="2"/>
          <c:order val="2"/>
          <c:tx>
            <c:strRef>
              <c:f>debt!$P$4</c:f>
              <c:strCache>
                <c:ptCount val="1"/>
                <c:pt idx="0">
                  <c:v>Net New Debt</c:v>
                </c:pt>
              </c:strCache>
            </c:strRef>
          </c:tx>
          <c:spPr>
            <a:ln w="28575" cap="rnd">
              <a:solidFill>
                <a:srgbClr val="C00000"/>
              </a:solidFill>
              <a:round/>
            </a:ln>
            <a:effectLst/>
          </c:spPr>
          <c:marker>
            <c:symbol val="none"/>
          </c:marker>
          <c:cat>
            <c:strRef>
              <c:f>debt!$M$5:$M$17</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RE 2024-25</c:v>
                </c:pt>
                <c:pt idx="12">
                  <c:v>BE 2025-26</c:v>
                </c:pt>
              </c:strCache>
            </c:strRef>
          </c:cat>
          <c:val>
            <c:numRef>
              <c:f>debt!$P$5:$P$17</c:f>
              <c:numCache>
                <c:formatCode>#,##0</c:formatCode>
                <c:ptCount val="13"/>
                <c:pt idx="0">
                  <c:v>483675</c:v>
                </c:pt>
                <c:pt idx="1">
                  <c:v>510496</c:v>
                </c:pt>
                <c:pt idx="2">
                  <c:v>579293</c:v>
                </c:pt>
                <c:pt idx="3">
                  <c:v>455314</c:v>
                </c:pt>
                <c:pt idx="4">
                  <c:v>681397</c:v>
                </c:pt>
                <c:pt idx="5">
                  <c:v>693537</c:v>
                </c:pt>
                <c:pt idx="6">
                  <c:v>974838</c:v>
                </c:pt>
                <c:pt idx="7">
                  <c:v>1978275</c:v>
                </c:pt>
                <c:pt idx="8">
                  <c:v>1603684</c:v>
                </c:pt>
                <c:pt idx="9">
                  <c:v>1665192</c:v>
                </c:pt>
                <c:pt idx="10">
                  <c:v>1697557</c:v>
                </c:pt>
                <c:pt idx="11">
                  <c:v>1286107</c:v>
                </c:pt>
                <c:pt idx="12">
                  <c:v>1527701</c:v>
                </c:pt>
              </c:numCache>
            </c:numRef>
          </c:val>
          <c:smooth val="0"/>
          <c:extLst>
            <c:ext xmlns:c16="http://schemas.microsoft.com/office/drawing/2014/chart" uri="{C3380CC4-5D6E-409C-BE32-E72D297353CC}">
              <c16:uniqueId val="{00000002-C45D-4CB2-B234-B1010DC5071E}"/>
            </c:ext>
          </c:extLst>
        </c:ser>
        <c:dLbls>
          <c:showLegendKey val="0"/>
          <c:showVal val="0"/>
          <c:showCatName val="0"/>
          <c:showSerName val="0"/>
          <c:showPercent val="0"/>
          <c:showBubbleSize val="0"/>
        </c:dLbls>
        <c:marker val="1"/>
        <c:smooth val="0"/>
        <c:axId val="1858131279"/>
        <c:axId val="1858137103"/>
      </c:lineChart>
      <c:catAx>
        <c:axId val="185813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33775"/>
        <c:crosses val="autoZero"/>
        <c:auto val="1"/>
        <c:lblAlgn val="ctr"/>
        <c:lblOffset val="100"/>
        <c:noMultiLvlLbl val="0"/>
      </c:catAx>
      <c:valAx>
        <c:axId val="185813377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gt;=1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3335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858137103"/>
        <c:scaling>
          <c:orientation val="minMax"/>
        </c:scaling>
        <c:delete val="0"/>
        <c:axPos val="r"/>
        <c:numFmt formatCode="[&gt;=10000000]##\,##\,##\,##0;[&gt;=10000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31279"/>
        <c:crosses val="max"/>
        <c:crossBetween val="between"/>
      </c:valAx>
      <c:catAx>
        <c:axId val="1858131279"/>
        <c:scaling>
          <c:orientation val="minMax"/>
        </c:scaling>
        <c:delete val="1"/>
        <c:axPos val="b"/>
        <c:numFmt formatCode="General" sourceLinked="1"/>
        <c:majorTickMark val="out"/>
        <c:minorTickMark val="none"/>
        <c:tickLblPos val="nextTo"/>
        <c:crossAx val="18581371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Proj.xlsx]NTR!Pivot_NTR</c:name>
    <c:fmtId val="3"/>
  </c:pivotSource>
  <c:chart>
    <c:autoTitleDeleted val="0"/>
    <c:pivotFmts>
      <c:pivotFmt>
        <c:idx val="0"/>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NTR!$B$4</c:f>
              <c:strCache>
                <c:ptCount val="1"/>
                <c:pt idx="0">
                  <c:v> 2013-14</c:v>
                </c:pt>
              </c:strCache>
            </c:strRef>
          </c:tx>
          <c:spPr>
            <a:ln w="25400" cap="rnd">
              <a:solidFill>
                <a:schemeClr val="accent1"/>
              </a:solidFill>
              <a:round/>
            </a:ln>
            <a:effectLst/>
          </c:spPr>
          <c:marker>
            <c:symbol val="none"/>
          </c:marker>
          <c:cat>
            <c:strRef>
              <c:f>NTR!$A$5:$A$11</c:f>
              <c:strCache>
                <c:ptCount val="6"/>
                <c:pt idx="0">
                  <c:v>Dividends and Profits</c:v>
                </c:pt>
                <c:pt idx="1">
                  <c:v>Interest Receipts</c:v>
                </c:pt>
                <c:pt idx="2">
                  <c:v>Economic Services</c:v>
                </c:pt>
                <c:pt idx="3">
                  <c:v>General Services</c:v>
                </c:pt>
                <c:pt idx="4">
                  <c:v>Other Communication Services</c:v>
                </c:pt>
                <c:pt idx="5">
                  <c:v>Postal Receipts</c:v>
                </c:pt>
              </c:strCache>
            </c:strRef>
          </c:cat>
          <c:val>
            <c:numRef>
              <c:f>NTR!$B$5:$B$11</c:f>
              <c:numCache>
                <c:formatCode>General</c:formatCode>
                <c:ptCount val="6"/>
                <c:pt idx="0">
                  <c:v>90434.52</c:v>
                </c:pt>
                <c:pt idx="1">
                  <c:v>43991.35</c:v>
                </c:pt>
                <c:pt idx="2">
                  <c:v>226411.08</c:v>
                </c:pt>
                <c:pt idx="3">
                  <c:v>28956.11</c:v>
                </c:pt>
                <c:pt idx="4">
                  <c:v>40113.760000000002</c:v>
                </c:pt>
                <c:pt idx="5">
                  <c:v>10730.42</c:v>
                </c:pt>
              </c:numCache>
            </c:numRef>
          </c:val>
          <c:extLst>
            <c:ext xmlns:c16="http://schemas.microsoft.com/office/drawing/2014/chart" uri="{C3380CC4-5D6E-409C-BE32-E72D297353CC}">
              <c16:uniqueId val="{00000000-B9EA-480D-963E-C69C663A7A36}"/>
            </c:ext>
          </c:extLst>
        </c:ser>
        <c:ser>
          <c:idx val="1"/>
          <c:order val="1"/>
          <c:tx>
            <c:strRef>
              <c:f>NTR!$C$4</c:f>
              <c:strCache>
                <c:ptCount val="1"/>
                <c:pt idx="0">
                  <c:v> 2020-21</c:v>
                </c:pt>
              </c:strCache>
            </c:strRef>
          </c:tx>
          <c:spPr>
            <a:ln w="25400" cap="rnd">
              <a:solidFill>
                <a:schemeClr val="accent2"/>
              </a:solidFill>
              <a:round/>
            </a:ln>
            <a:effectLst/>
          </c:spPr>
          <c:marker>
            <c:symbol val="none"/>
          </c:marker>
          <c:cat>
            <c:strRef>
              <c:f>NTR!$A$5:$A$11</c:f>
              <c:strCache>
                <c:ptCount val="6"/>
                <c:pt idx="0">
                  <c:v>Dividends and Profits</c:v>
                </c:pt>
                <c:pt idx="1">
                  <c:v>Interest Receipts</c:v>
                </c:pt>
                <c:pt idx="2">
                  <c:v>Economic Services</c:v>
                </c:pt>
                <c:pt idx="3">
                  <c:v>General Services</c:v>
                </c:pt>
                <c:pt idx="4">
                  <c:v>Other Communication Services</c:v>
                </c:pt>
                <c:pt idx="5">
                  <c:v>Postal Receipts</c:v>
                </c:pt>
              </c:strCache>
            </c:strRef>
          </c:cat>
          <c:val>
            <c:numRef>
              <c:f>NTR!$C$5:$C$11</c:f>
              <c:numCache>
                <c:formatCode>General</c:formatCode>
                <c:ptCount val="6"/>
                <c:pt idx="0">
                  <c:v>96877.75</c:v>
                </c:pt>
                <c:pt idx="1">
                  <c:v>59528.76</c:v>
                </c:pt>
                <c:pt idx="2">
                  <c:v>228124.6</c:v>
                </c:pt>
                <c:pt idx="3">
                  <c:v>39565.879999999997</c:v>
                </c:pt>
                <c:pt idx="4">
                  <c:v>45500.65</c:v>
                </c:pt>
                <c:pt idx="5">
                  <c:v>10632.31</c:v>
                </c:pt>
              </c:numCache>
            </c:numRef>
          </c:val>
          <c:extLst>
            <c:ext xmlns:c16="http://schemas.microsoft.com/office/drawing/2014/chart" uri="{C3380CC4-5D6E-409C-BE32-E72D297353CC}">
              <c16:uniqueId val="{00000001-B9EA-480D-963E-C69C663A7A36}"/>
            </c:ext>
          </c:extLst>
        </c:ser>
        <c:ser>
          <c:idx val="2"/>
          <c:order val="2"/>
          <c:tx>
            <c:strRef>
              <c:f>NTR!$D$4</c:f>
              <c:strCache>
                <c:ptCount val="1"/>
                <c:pt idx="0">
                  <c:v>2025-26</c:v>
                </c:pt>
              </c:strCache>
            </c:strRef>
          </c:tx>
          <c:spPr>
            <a:ln w="25400" cap="rnd">
              <a:solidFill>
                <a:srgbClr val="00B050"/>
              </a:solidFill>
              <a:round/>
            </a:ln>
            <a:effectLst/>
          </c:spPr>
          <c:marker>
            <c:symbol val="none"/>
          </c:marker>
          <c:cat>
            <c:strRef>
              <c:f>NTR!$A$5:$A$11</c:f>
              <c:strCache>
                <c:ptCount val="6"/>
                <c:pt idx="0">
                  <c:v>Dividends and Profits</c:v>
                </c:pt>
                <c:pt idx="1">
                  <c:v>Interest Receipts</c:v>
                </c:pt>
                <c:pt idx="2">
                  <c:v>Economic Services</c:v>
                </c:pt>
                <c:pt idx="3">
                  <c:v>General Services</c:v>
                </c:pt>
                <c:pt idx="4">
                  <c:v>Other Communication Services</c:v>
                </c:pt>
                <c:pt idx="5">
                  <c:v>Postal Receipts</c:v>
                </c:pt>
              </c:strCache>
            </c:strRef>
          </c:cat>
          <c:val>
            <c:numRef>
              <c:f>NTR!$D$5:$D$11</c:f>
              <c:numCache>
                <c:formatCode>General</c:formatCode>
                <c:ptCount val="6"/>
                <c:pt idx="0">
                  <c:v>325000</c:v>
                </c:pt>
                <c:pt idx="1">
                  <c:v>90237.98</c:v>
                </c:pt>
                <c:pt idx="2">
                  <c:v>481884.77</c:v>
                </c:pt>
                <c:pt idx="3">
                  <c:v>72257.03</c:v>
                </c:pt>
                <c:pt idx="4">
                  <c:v>82442.84</c:v>
                </c:pt>
                <c:pt idx="5">
                  <c:v>12487.11</c:v>
                </c:pt>
              </c:numCache>
            </c:numRef>
          </c:val>
          <c:extLst>
            <c:ext xmlns:c16="http://schemas.microsoft.com/office/drawing/2014/chart" uri="{C3380CC4-5D6E-409C-BE32-E72D297353CC}">
              <c16:uniqueId val="{00000002-B9EA-480D-963E-C69C663A7A36}"/>
            </c:ext>
          </c:extLst>
        </c:ser>
        <c:dLbls>
          <c:showLegendKey val="0"/>
          <c:showVal val="0"/>
          <c:showCatName val="0"/>
          <c:showSerName val="0"/>
          <c:showPercent val="0"/>
          <c:showBubbleSize val="0"/>
        </c:dLbls>
        <c:axId val="1858139183"/>
        <c:axId val="1858142095"/>
      </c:radarChart>
      <c:catAx>
        <c:axId val="185813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58142095"/>
        <c:crosses val="autoZero"/>
        <c:auto val="1"/>
        <c:lblAlgn val="ctr"/>
        <c:lblOffset val="100"/>
        <c:noMultiLvlLbl val="0"/>
      </c:catAx>
      <c:valAx>
        <c:axId val="185814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58139183"/>
        <c:crosses val="autoZero"/>
        <c:crossBetween val="between"/>
      </c:valAx>
      <c:spPr>
        <a:noFill/>
        <a:ln>
          <a:noFill/>
        </a:ln>
        <a:effectLst/>
      </c:spPr>
    </c:plotArea>
    <c:legend>
      <c:legendPos val="r"/>
      <c:layout>
        <c:manualLayout>
          <c:xMode val="edge"/>
          <c:yMode val="edge"/>
          <c:x val="0.83625015117168289"/>
          <c:y val="0.3066804044373887"/>
          <c:w val="0.13117867841244121"/>
          <c:h val="0.384504917834410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sz="2800"/>
            </a:pPr>
            <a:r>
              <a:rPr lang="en-IN" sz="2800" b="1">
                <a:solidFill>
                  <a:srgbClr val="002060"/>
                </a:solidFill>
              </a:rPr>
              <a:t>Economic</a:t>
            </a:r>
            <a:r>
              <a:rPr lang="en-IN" sz="2800">
                <a:solidFill>
                  <a:srgbClr val="002060"/>
                </a:solidFill>
              </a:rPr>
              <a:t> </a:t>
            </a:r>
            <a:r>
              <a:rPr lang="en-IN" sz="2800" b="1">
                <a:solidFill>
                  <a:srgbClr val="002060"/>
                </a:solidFill>
              </a:rPr>
              <a:t>Services</a:t>
            </a:r>
            <a:r>
              <a:rPr lang="en-IN" sz="2800">
                <a:solidFill>
                  <a:srgbClr val="002060"/>
                </a:solidFill>
              </a:rPr>
              <a:t> </a:t>
            </a:r>
            <a:r>
              <a:rPr lang="en-IN" sz="2800" b="1">
                <a:solidFill>
                  <a:srgbClr val="002060"/>
                </a:solidFill>
              </a:rPr>
              <a:t>Capital Expenditure - 2023-24 (₹ Crore</a:t>
            </a:r>
            <a:r>
              <a:rPr lang="en-IN" sz="2800">
                <a:solidFill>
                  <a:srgbClr val="002060"/>
                </a:solidFill>
              </a:rPr>
              <a:t>)</a:t>
            </a:r>
            <a:endParaRPr lang="en-US" sz="2800" b="0" i="0" u="none" strike="noStrike" baseline="0">
              <a:solidFill>
                <a:srgbClr val="002060"/>
              </a:solidFill>
              <a:latin typeface="Calibri" panose="020F0502020204030204"/>
            </a:endParaRPr>
          </a:p>
        </cx:rich>
      </cx:tx>
    </cx:title>
    <cx:plotArea>
      <cx:plotAreaRegion>
        <cx:series layoutId="treemap" uniqueId="{5FC3C764-1C8E-4E1A-94EA-D07BCC67EE9E}">
          <cx:tx>
            <cx:txData>
              <cx:f>_xlchart.v1.1</cx:f>
              <cx:v>Sum of 2023-24</cx:v>
            </cx:txData>
          </cx:tx>
          <cx:dataPt idx="2">
            <cx:spPr>
              <a:solidFill>
                <a:srgbClr val="ED7D31">
                  <a:lumMod val="75000"/>
                </a:srgbClr>
              </a:solidFill>
            </cx:spPr>
          </cx:dataPt>
          <cx:dataPt idx="3">
            <cx:spPr>
              <a:solidFill>
                <a:srgbClr val="C00000"/>
              </a:solidFill>
            </cx:spPr>
          </cx:dataPt>
          <cx:dataPt idx="4">
            <cx:spPr>
              <a:solidFill>
                <a:srgbClr val="7030A0"/>
              </a:solidFill>
            </cx:spPr>
          </cx:dataPt>
          <cx:dataLabels>
            <cx:numFmt formatCode="₹ #,##0.00" sourceLinked="0"/>
            <cx:txPr>
              <a:bodyPr spcFirstLastPara="1" vertOverflow="ellipsis" horzOverflow="overflow" wrap="square" lIns="0" tIns="0" rIns="0" bIns="0" anchor="ctr" anchorCtr="1"/>
              <a:lstStyle/>
              <a:p>
                <a:pPr algn="ctr" rtl="0">
                  <a:defRPr sz="1800"/>
                </a:pPr>
                <a:endParaRPr lang="en-US" sz="18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chart>
  <cx:spPr>
    <a:ln>
      <a:solidFill>
        <a:schemeClr val="bg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a:t>Economic Services Capital Expenditure — 2023-24 (₹ Crore)</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5FC3C764-1C8E-4E1A-94EA-D07BCC67EE9E}">
          <cx:tx>
            <cx:txData>
              <cx:f>_xlchart.v1.4</cx:f>
              <cx:v>Sum of 2023-24</cx:v>
            </cx:txData>
          </cx:tx>
          <cx:dataPt idx="2">
            <cx:spPr>
              <a:solidFill>
                <a:srgbClr val="ED7D31">
                  <a:lumMod val="75000"/>
                </a:srgbClr>
              </a:solidFill>
            </cx:spPr>
          </cx:dataPt>
          <cx:dataPt idx="3">
            <cx:spPr>
              <a:solidFill>
                <a:srgbClr val="C00000"/>
              </a:solidFill>
            </cx:spPr>
          </cx:dataPt>
          <cx:dataPt idx="4">
            <cx:spPr>
              <a:solidFill>
                <a:srgbClr val="7030A0"/>
              </a:solidFill>
            </cx:spPr>
          </cx:dataPt>
          <cx:dataLabels>
            <cx:numFmt formatCode="₹ #,##0.00" sourceLinked="0"/>
            <cx:txPr>
              <a:bodyPr spcFirstLastPara="1" vertOverflow="ellipsis" horzOverflow="overflow" wrap="square" lIns="0" tIns="0" rIns="0" bIns="0" anchor="ctr" anchorCtr="1"/>
              <a:lstStyle/>
              <a:p>
                <a:pPr algn="ctr" rtl="0">
                  <a:defRPr sz="1800"/>
                </a:pPr>
                <a:endParaRPr lang="en-US" sz="18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8.xml"/><Relationship Id="rId18" Type="http://schemas.openxmlformats.org/officeDocument/2006/relationships/hyperlink" Target="#'Tax Revenue composition'!A1"/><Relationship Id="rId3" Type="http://schemas.openxmlformats.org/officeDocument/2006/relationships/image" Target="../media/image1.jpeg"/><Relationship Id="rId21" Type="http://schemas.openxmlformats.org/officeDocument/2006/relationships/chart" Target="../charts/chart9.xml"/><Relationship Id="rId7" Type="http://schemas.openxmlformats.org/officeDocument/2006/relationships/chart" Target="../charts/chart4.xml"/><Relationship Id="rId12" Type="http://schemas.openxmlformats.org/officeDocument/2006/relationships/chart" Target="../charts/chart7.xml"/><Relationship Id="rId17" Type="http://schemas.openxmlformats.org/officeDocument/2006/relationships/hyperlink" Target="#'deficit and surplus'!A1"/><Relationship Id="rId2" Type="http://schemas.openxmlformats.org/officeDocument/2006/relationships/hyperlink" Target="https://www.indiabudget.gov.in/" TargetMode="External"/><Relationship Id="rId16" Type="http://schemas.openxmlformats.org/officeDocument/2006/relationships/hyperlink" Target="#' Receipts vs Expenditure'!A1"/><Relationship Id="rId20" Type="http://schemas.openxmlformats.org/officeDocument/2006/relationships/hyperlink" Target="#' Defence spending'!A1"/><Relationship Id="rId1" Type="http://schemas.openxmlformats.org/officeDocument/2006/relationships/hyperlink" Target="#debt!A1"/><Relationship Id="rId6" Type="http://schemas.openxmlformats.org/officeDocument/2006/relationships/chart" Target="../charts/chart3.xml"/><Relationship Id="rId11" Type="http://schemas.openxmlformats.org/officeDocument/2006/relationships/chart" Target="../charts/chart6.xml"/><Relationship Id="rId5" Type="http://schemas.openxmlformats.org/officeDocument/2006/relationships/chart" Target="../charts/chart2.xml"/><Relationship Id="rId15" Type="http://schemas.openxmlformats.org/officeDocument/2006/relationships/image" Target="../media/image2.png"/><Relationship Id="rId10" Type="http://schemas.microsoft.com/office/2014/relationships/chartEx" Target="../charts/chartEx1.xml"/><Relationship Id="rId19" Type="http://schemas.openxmlformats.org/officeDocument/2006/relationships/hyperlink" Target="#NTR!A1"/><Relationship Id="rId4" Type="http://schemas.openxmlformats.org/officeDocument/2006/relationships/chart" Target="../charts/chart1.xml"/><Relationship Id="rId9" Type="http://schemas.openxmlformats.org/officeDocument/2006/relationships/hyperlink" Target="#'Capital Expenditure breakdown'!A1"/><Relationship Id="rId14" Type="http://schemas.openxmlformats.org/officeDocument/2006/relationships/hyperlink" Target="https://www.indiabudget.gov.in"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Dashboard!A1"/><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Dashboard!A1"/><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3" Type="http://schemas.openxmlformats.org/officeDocument/2006/relationships/hyperlink" Target="#Dashboard!A1"/><Relationship Id="rId2" Type="http://schemas.microsoft.com/office/2014/relationships/chartEx" Target="../charts/chartEx2.xml"/><Relationship Id="rId1" Type="http://schemas.openxmlformats.org/officeDocument/2006/relationships/chart" Target="../charts/chart15.xml"/><Relationship Id="rId5" Type="http://schemas.openxmlformats.org/officeDocument/2006/relationships/image" Target="../media/image9.png"/><Relationship Id="rId4"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image" Target="../media/image11.png"/><Relationship Id="rId4" Type="http://schemas.openxmlformats.org/officeDocument/2006/relationships/image" Target="../media/image1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18</xdr:col>
      <xdr:colOff>272144</xdr:colOff>
      <xdr:row>86</xdr:row>
      <xdr:rowOff>18143</xdr:rowOff>
    </xdr:from>
    <xdr:to>
      <xdr:col>34</xdr:col>
      <xdr:colOff>348015</xdr:colOff>
      <xdr:row>118</xdr:row>
      <xdr:rowOff>21074</xdr:rowOff>
    </xdr:to>
    <xdr:sp macro="" textlink="">
      <xdr:nvSpPr>
        <xdr:cNvPr id="68" name="Rectangle: Rounded Corners 67">
          <a:hlinkClick xmlns:r="http://schemas.openxmlformats.org/officeDocument/2006/relationships" r:id="rId1"/>
          <a:extLst>
            <a:ext uri="{FF2B5EF4-FFF2-40B4-BE49-F238E27FC236}">
              <a16:creationId xmlns:a16="http://schemas.microsoft.com/office/drawing/2014/main" id="{31BB7436-62F7-4D2E-B06C-4A3D18815629}"/>
            </a:ext>
          </a:extLst>
        </xdr:cNvPr>
        <xdr:cNvSpPr/>
      </xdr:nvSpPr>
      <xdr:spPr>
        <a:xfrm>
          <a:off x="12645573" y="15621000"/>
          <a:ext cx="9945585" cy="5808645"/>
        </a:xfrm>
        <a:prstGeom prst="round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oneCell">
    <xdr:from>
      <xdr:col>0</xdr:col>
      <xdr:colOff>291783</xdr:colOff>
      <xdr:row>2</xdr:row>
      <xdr:rowOff>169592</xdr:rowOff>
    </xdr:from>
    <xdr:to>
      <xdr:col>1</xdr:col>
      <xdr:colOff>2025955</xdr:colOff>
      <xdr:row>5</xdr:row>
      <xdr:rowOff>549348</xdr:rowOff>
    </xdr:to>
    <xdr:pic>
      <xdr:nvPicPr>
        <xdr:cNvPr id="3" name="Picture 2" descr="Union budget of India - Wikipedia">
          <a:hlinkClick xmlns:r="http://schemas.openxmlformats.org/officeDocument/2006/relationships" r:id="rId2"/>
          <a:extLst>
            <a:ext uri="{FF2B5EF4-FFF2-40B4-BE49-F238E27FC236}">
              <a16:creationId xmlns:a16="http://schemas.microsoft.com/office/drawing/2014/main" id="{59542B9D-8584-4D77-BCB0-92427116C8D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0025" t="27235" r="17677" b="40736"/>
        <a:stretch/>
      </xdr:blipFill>
      <xdr:spPr bwMode="auto">
        <a:xfrm>
          <a:off x="291783" y="524011"/>
          <a:ext cx="2620219" cy="911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180473</xdr:colOff>
      <xdr:row>0</xdr:row>
      <xdr:rowOff>121429</xdr:rowOff>
    </xdr:from>
    <xdr:to>
      <xdr:col>40</xdr:col>
      <xdr:colOff>372139</xdr:colOff>
      <xdr:row>5</xdr:row>
      <xdr:rowOff>1116417</xdr:rowOff>
    </xdr:to>
    <xdr:sp macro="" textlink="">
      <xdr:nvSpPr>
        <xdr:cNvPr id="4" name="Rectangle: Rounded Corners 3">
          <a:extLst>
            <a:ext uri="{FF2B5EF4-FFF2-40B4-BE49-F238E27FC236}">
              <a16:creationId xmlns:a16="http://schemas.microsoft.com/office/drawing/2014/main" id="{BEE7A487-BD53-4903-B772-E18BEDE439F6}"/>
            </a:ext>
          </a:extLst>
        </xdr:cNvPr>
        <xdr:cNvSpPr/>
      </xdr:nvSpPr>
      <xdr:spPr>
        <a:xfrm>
          <a:off x="3193031" y="121429"/>
          <a:ext cx="22644085" cy="1881035"/>
        </a:xfrm>
        <a:prstGeom prst="round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584273</xdr:colOff>
      <xdr:row>1</xdr:row>
      <xdr:rowOff>122544</xdr:rowOff>
    </xdr:from>
    <xdr:to>
      <xdr:col>39</xdr:col>
      <xdr:colOff>372140</xdr:colOff>
      <xdr:row>5</xdr:row>
      <xdr:rowOff>886046</xdr:rowOff>
    </xdr:to>
    <xdr:sp macro="" textlink="">
      <xdr:nvSpPr>
        <xdr:cNvPr id="9219" name="Text Box 3">
          <a:extLst>
            <a:ext uri="{FF2B5EF4-FFF2-40B4-BE49-F238E27FC236}">
              <a16:creationId xmlns:a16="http://schemas.microsoft.com/office/drawing/2014/main" id="{51D8FCB4-7201-434B-8A26-E3E8D9368B11}"/>
            </a:ext>
          </a:extLst>
        </xdr:cNvPr>
        <xdr:cNvSpPr txBox="1">
          <a:spLocks noChangeArrowheads="1"/>
        </xdr:cNvSpPr>
      </xdr:nvSpPr>
      <xdr:spPr bwMode="auto">
        <a:xfrm>
          <a:off x="3596831" y="299753"/>
          <a:ext cx="21637774" cy="1472340"/>
        </a:xfrm>
        <a:prstGeom prst="rect">
          <a:avLst/>
        </a:prstGeom>
        <a:solidFill>
          <a:srgbClr val="FFFFFF"/>
        </a:solidFill>
        <a:ln w="9525">
          <a:solidFill>
            <a:schemeClr val="bg1"/>
          </a:solidFill>
          <a:miter lim="800000"/>
          <a:headEnd/>
          <a:tailEnd/>
        </a:ln>
      </xdr:spPr>
      <xdr:txBody>
        <a:bodyPr vertOverflow="clip" wrap="square" lIns="27432" tIns="27432" rIns="0" bIns="0" anchor="ctr" upright="1"/>
        <a:lstStyle/>
        <a:p>
          <a:pPr algn="ctr" rtl="0">
            <a:defRPr sz="1000"/>
          </a:pPr>
          <a:r>
            <a:rPr lang="en-IN" sz="4000" b="1" i="0" u="none" strike="noStrike" baseline="0">
              <a:solidFill>
                <a:srgbClr val="002060"/>
              </a:solidFill>
              <a:latin typeface="Times New Roman" panose="02020603050405020304" pitchFamily="18" charset="0"/>
              <a:ea typeface="Calibri"/>
              <a:cs typeface="Times New Roman" panose="02020603050405020304" pitchFamily="18" charset="0"/>
            </a:rPr>
            <a:t>Consolidated Fund of India : Budget Analysis Dashboard |2013-14 to BE 2025-26 | (₹ in Crore)</a:t>
          </a:r>
        </a:p>
      </xdr:txBody>
    </xdr:sp>
    <xdr:clientData/>
  </xdr:twoCellAnchor>
  <xdr:twoCellAnchor>
    <xdr:from>
      <xdr:col>11</xdr:col>
      <xdr:colOff>521369</xdr:colOff>
      <xdr:row>6</xdr:row>
      <xdr:rowOff>140369</xdr:rowOff>
    </xdr:from>
    <xdr:to>
      <xdr:col>16</xdr:col>
      <xdr:colOff>50133</xdr:colOff>
      <xdr:row>8</xdr:row>
      <xdr:rowOff>160421</xdr:rowOff>
    </xdr:to>
    <xdr:sp macro="" textlink="">
      <xdr:nvSpPr>
        <xdr:cNvPr id="16" name="Rectangle: Top Corners Snipped 15">
          <a:extLst>
            <a:ext uri="{FF2B5EF4-FFF2-40B4-BE49-F238E27FC236}">
              <a16:creationId xmlns:a16="http://schemas.microsoft.com/office/drawing/2014/main" id="{44A5D438-3C47-4A6B-BC5C-52F6556BC759}"/>
            </a:ext>
          </a:extLst>
        </xdr:cNvPr>
        <xdr:cNvSpPr/>
      </xdr:nvSpPr>
      <xdr:spPr>
        <a:xfrm>
          <a:off x="7509711" y="1223211"/>
          <a:ext cx="2586790" cy="380999"/>
        </a:xfrm>
        <a:prstGeom prst="snip2Same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800" b="0" i="0" u="none" baseline="0">
              <a:solidFill>
                <a:schemeClr val="bg1"/>
              </a:solidFill>
              <a:effectLst/>
              <a:latin typeface="Times New Roman" panose="02020603050405020304" pitchFamily="18" charset="0"/>
              <a:ea typeface="+mn-ea"/>
              <a:cs typeface="Times New Roman" panose="02020603050405020304" pitchFamily="18" charset="0"/>
            </a:rPr>
            <a:t>Capital Receipts</a:t>
          </a:r>
          <a:endParaRPr lang="en-IN" sz="1800" u="none">
            <a:solidFill>
              <a:schemeClr val="bg1"/>
            </a:solidFill>
            <a:effectLst/>
            <a:latin typeface="Times New Roman" panose="02020603050405020304" pitchFamily="18" charset="0"/>
            <a:cs typeface="Times New Roman" panose="02020603050405020304" pitchFamily="18" charset="0"/>
          </a:endParaRPr>
        </a:p>
        <a:p>
          <a:pPr algn="l"/>
          <a:endParaRPr lang="en-IN" sz="1800" u="none">
            <a:solidFill>
              <a:schemeClr val="bg1"/>
            </a:solidFill>
          </a:endParaRPr>
        </a:p>
      </xdr:txBody>
    </xdr:sp>
    <xdr:clientData/>
  </xdr:twoCellAnchor>
  <xdr:twoCellAnchor>
    <xdr:from>
      <xdr:col>6</xdr:col>
      <xdr:colOff>501316</xdr:colOff>
      <xdr:row>6</xdr:row>
      <xdr:rowOff>110289</xdr:rowOff>
    </xdr:from>
    <xdr:to>
      <xdr:col>11</xdr:col>
      <xdr:colOff>80211</xdr:colOff>
      <xdr:row>9</xdr:row>
      <xdr:rowOff>20053</xdr:rowOff>
    </xdr:to>
    <xdr:sp macro="" textlink="">
      <xdr:nvSpPr>
        <xdr:cNvPr id="18" name="Rectangle: Top Corners Snipped 17">
          <a:extLst>
            <a:ext uri="{FF2B5EF4-FFF2-40B4-BE49-F238E27FC236}">
              <a16:creationId xmlns:a16="http://schemas.microsoft.com/office/drawing/2014/main" id="{0F55DB1B-C7A2-431A-BC77-1703CAEA9C5A}"/>
            </a:ext>
          </a:extLst>
        </xdr:cNvPr>
        <xdr:cNvSpPr/>
      </xdr:nvSpPr>
      <xdr:spPr>
        <a:xfrm>
          <a:off x="4431632" y="1193131"/>
          <a:ext cx="2636921" cy="451185"/>
        </a:xfrm>
        <a:prstGeom prst="snip2SameRect">
          <a:avLst>
            <a:gd name="adj1" fmla="val 8975"/>
            <a:gd name="adj2" fmla="val 0"/>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800" b="0" i="0" u="none" baseline="0">
              <a:solidFill>
                <a:schemeClr val="lt1"/>
              </a:solidFill>
              <a:effectLst/>
              <a:latin typeface="Times New Roman" panose="02020603050405020304" pitchFamily="18" charset="0"/>
              <a:ea typeface="+mn-ea"/>
              <a:cs typeface="Times New Roman" panose="02020603050405020304" pitchFamily="18" charset="0"/>
            </a:rPr>
            <a:t>Revenue Expenditure</a:t>
          </a:r>
          <a:endParaRPr lang="en-IN" sz="1800" u="none">
            <a:effectLst/>
            <a:latin typeface="Times New Roman" panose="02020603050405020304" pitchFamily="18" charset="0"/>
            <a:cs typeface="Times New Roman" panose="02020603050405020304" pitchFamily="18" charset="0"/>
          </a:endParaRPr>
        </a:p>
        <a:p>
          <a:pPr algn="l"/>
          <a:endParaRPr lang="en-IN" sz="1800" u="none"/>
        </a:p>
      </xdr:txBody>
    </xdr:sp>
    <xdr:clientData/>
  </xdr:twoCellAnchor>
  <xdr:twoCellAnchor>
    <xdr:from>
      <xdr:col>2</xdr:col>
      <xdr:colOff>145915</xdr:colOff>
      <xdr:row>6</xdr:row>
      <xdr:rowOff>90237</xdr:rowOff>
    </xdr:from>
    <xdr:to>
      <xdr:col>6</xdr:col>
      <xdr:colOff>110290</xdr:colOff>
      <xdr:row>8</xdr:row>
      <xdr:rowOff>170447</xdr:rowOff>
    </xdr:to>
    <xdr:sp macro="" textlink="">
      <xdr:nvSpPr>
        <xdr:cNvPr id="19" name="Rectangle: Top Corners Snipped 18">
          <a:extLst>
            <a:ext uri="{FF2B5EF4-FFF2-40B4-BE49-F238E27FC236}">
              <a16:creationId xmlns:a16="http://schemas.microsoft.com/office/drawing/2014/main" id="{8BC5B3C0-61C4-4078-BD75-A6C1D09A8179}"/>
            </a:ext>
          </a:extLst>
        </xdr:cNvPr>
        <xdr:cNvSpPr/>
      </xdr:nvSpPr>
      <xdr:spPr>
        <a:xfrm>
          <a:off x="3242553" y="1160280"/>
          <a:ext cx="2201737" cy="631444"/>
        </a:xfrm>
        <a:prstGeom prst="snip2Same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800" b="0" i="0" u="none" baseline="0">
              <a:solidFill>
                <a:schemeClr val="lt1"/>
              </a:solidFill>
              <a:effectLst/>
              <a:latin typeface="Times New Roman" panose="02020603050405020304" pitchFamily="18" charset="0"/>
              <a:ea typeface="+mn-ea"/>
              <a:cs typeface="Times New Roman" panose="02020603050405020304" pitchFamily="18" charset="0"/>
            </a:rPr>
            <a:t>Revenue Receipts</a:t>
          </a:r>
          <a:endParaRPr lang="en-IN" sz="1800" u="none">
            <a:effectLst/>
            <a:latin typeface="Times New Roman" panose="02020603050405020304" pitchFamily="18" charset="0"/>
            <a:cs typeface="Times New Roman" panose="02020603050405020304" pitchFamily="18" charset="0"/>
          </a:endParaRPr>
        </a:p>
        <a:p>
          <a:pPr algn="l"/>
          <a:endParaRPr lang="en-IN" sz="1800" u="none"/>
        </a:p>
      </xdr:txBody>
    </xdr:sp>
    <xdr:clientData/>
  </xdr:twoCellAnchor>
  <xdr:twoCellAnchor>
    <xdr:from>
      <xdr:col>16</xdr:col>
      <xdr:colOff>531395</xdr:colOff>
      <xdr:row>6</xdr:row>
      <xdr:rowOff>150394</xdr:rowOff>
    </xdr:from>
    <xdr:to>
      <xdr:col>21</xdr:col>
      <xdr:colOff>70184</xdr:colOff>
      <xdr:row>9</xdr:row>
      <xdr:rowOff>20052</xdr:rowOff>
    </xdr:to>
    <xdr:sp macro="" textlink="">
      <xdr:nvSpPr>
        <xdr:cNvPr id="20" name="Rectangle: Top Corners Snipped 19">
          <a:extLst>
            <a:ext uri="{FF2B5EF4-FFF2-40B4-BE49-F238E27FC236}">
              <a16:creationId xmlns:a16="http://schemas.microsoft.com/office/drawing/2014/main" id="{353EB0E0-35D6-495C-BFFE-E36718B4FC9A}"/>
            </a:ext>
          </a:extLst>
        </xdr:cNvPr>
        <xdr:cNvSpPr/>
      </xdr:nvSpPr>
      <xdr:spPr>
        <a:xfrm>
          <a:off x="10577763" y="1233236"/>
          <a:ext cx="2596816" cy="411079"/>
        </a:xfrm>
        <a:prstGeom prst="snip2Same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800" b="0" i="0" u="none" baseline="0">
              <a:solidFill>
                <a:schemeClr val="lt1"/>
              </a:solidFill>
              <a:effectLst/>
              <a:latin typeface="Times New Roman" panose="02020603050405020304" pitchFamily="18" charset="0"/>
              <a:ea typeface="+mn-ea"/>
              <a:cs typeface="Times New Roman" panose="02020603050405020304" pitchFamily="18" charset="0"/>
            </a:rPr>
            <a:t>Capital Expenditure</a:t>
          </a:r>
        </a:p>
      </xdr:txBody>
    </xdr:sp>
    <xdr:clientData/>
  </xdr:twoCellAnchor>
  <xdr:twoCellAnchor>
    <xdr:from>
      <xdr:col>21</xdr:col>
      <xdr:colOff>506202</xdr:colOff>
      <xdr:row>6</xdr:row>
      <xdr:rowOff>113032</xdr:rowOff>
    </xdr:from>
    <xdr:to>
      <xdr:col>26</xdr:col>
      <xdr:colOff>113489</xdr:colOff>
      <xdr:row>9</xdr:row>
      <xdr:rowOff>22796</xdr:rowOff>
    </xdr:to>
    <xdr:sp macro="" textlink="">
      <xdr:nvSpPr>
        <xdr:cNvPr id="26" name="Rectangle: Top Corners Snipped 25">
          <a:extLst>
            <a:ext uri="{FF2B5EF4-FFF2-40B4-BE49-F238E27FC236}">
              <a16:creationId xmlns:a16="http://schemas.microsoft.com/office/drawing/2014/main" id="{DE2E23A7-B4D9-4B77-8131-41025516E752}"/>
            </a:ext>
          </a:extLst>
        </xdr:cNvPr>
        <xdr:cNvSpPr/>
      </xdr:nvSpPr>
      <xdr:spPr>
        <a:xfrm>
          <a:off x="15081479" y="1183075"/>
          <a:ext cx="2687712" cy="639338"/>
        </a:xfrm>
        <a:prstGeom prst="snip2Same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800">
              <a:latin typeface="Times New Roman" panose="02020603050405020304" pitchFamily="18" charset="0"/>
              <a:cs typeface="Times New Roman" panose="02020603050405020304" pitchFamily="18" charset="0"/>
            </a:rPr>
            <a:t>Revenue Growth %</a:t>
          </a:r>
          <a:endParaRPr lang="en-IN" sz="1800" b="0" i="0" u="none" baseline="0">
            <a:solidFill>
              <a:schemeClr val="lt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110290</xdr:colOff>
      <xdr:row>13</xdr:row>
      <xdr:rowOff>30078</xdr:rowOff>
    </xdr:from>
    <xdr:to>
      <xdr:col>19</xdr:col>
      <xdr:colOff>190500</xdr:colOff>
      <xdr:row>39</xdr:row>
      <xdr:rowOff>171449</xdr:rowOff>
    </xdr:to>
    <xdr:sp macro="" textlink="">
      <xdr:nvSpPr>
        <xdr:cNvPr id="29" name="Rectangle: Rounded Corners 28">
          <a:extLst>
            <a:ext uri="{FF2B5EF4-FFF2-40B4-BE49-F238E27FC236}">
              <a16:creationId xmlns:a16="http://schemas.microsoft.com/office/drawing/2014/main" id="{C5FA1312-D769-48B8-A418-7D9C79DE2CBD}"/>
            </a:ext>
          </a:extLst>
        </xdr:cNvPr>
        <xdr:cNvSpPr/>
      </xdr:nvSpPr>
      <xdr:spPr>
        <a:xfrm>
          <a:off x="1805740" y="2506578"/>
          <a:ext cx="10214810" cy="5094371"/>
        </a:xfrm>
        <a:prstGeom prst="round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3</xdr:col>
      <xdr:colOff>359945</xdr:colOff>
      <xdr:row>16</xdr:row>
      <xdr:rowOff>13033</xdr:rowOff>
    </xdr:from>
    <xdr:to>
      <xdr:col>18</xdr:col>
      <xdr:colOff>461819</xdr:colOff>
      <xdr:row>39</xdr:row>
      <xdr:rowOff>0</xdr:rowOff>
    </xdr:to>
    <xdr:graphicFrame macro="">
      <xdr:nvGraphicFramePr>
        <xdr:cNvPr id="33" name="Chart 32">
          <a:extLst>
            <a:ext uri="{FF2B5EF4-FFF2-40B4-BE49-F238E27FC236}">
              <a16:creationId xmlns:a16="http://schemas.microsoft.com/office/drawing/2014/main" id="{39ADFEB3-C783-4B2D-896B-AAEB79F6B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393700</xdr:colOff>
      <xdr:row>13</xdr:row>
      <xdr:rowOff>35168</xdr:rowOff>
    </xdr:from>
    <xdr:to>
      <xdr:col>29</xdr:col>
      <xdr:colOff>571500</xdr:colOff>
      <xdr:row>45</xdr:row>
      <xdr:rowOff>38100</xdr:rowOff>
    </xdr:to>
    <xdr:sp macro="" textlink="">
      <xdr:nvSpPr>
        <xdr:cNvPr id="34" name="Rectangle: Rounded Corners 33">
          <a:extLst>
            <a:ext uri="{FF2B5EF4-FFF2-40B4-BE49-F238E27FC236}">
              <a16:creationId xmlns:a16="http://schemas.microsoft.com/office/drawing/2014/main" id="{828CBEE7-AF91-4F53-A0AD-D586C03B1D9A}"/>
            </a:ext>
          </a:extLst>
        </xdr:cNvPr>
        <xdr:cNvSpPr/>
      </xdr:nvSpPr>
      <xdr:spPr>
        <a:xfrm>
          <a:off x="12223750" y="2511668"/>
          <a:ext cx="6273800" cy="6098932"/>
        </a:xfrm>
        <a:prstGeom prst="round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20</xdr:col>
      <xdr:colOff>23447</xdr:colOff>
      <xdr:row>16</xdr:row>
      <xdr:rowOff>82061</xdr:rowOff>
    </xdr:from>
    <xdr:to>
      <xdr:col>29</xdr:col>
      <xdr:colOff>339969</xdr:colOff>
      <xdr:row>43</xdr:row>
      <xdr:rowOff>23446</xdr:rowOff>
    </xdr:to>
    <xdr:graphicFrame macro="">
      <xdr:nvGraphicFramePr>
        <xdr:cNvPr id="37" name="Chart 36">
          <a:extLst>
            <a:ext uri="{FF2B5EF4-FFF2-40B4-BE49-F238E27FC236}">
              <a16:creationId xmlns:a16="http://schemas.microsoft.com/office/drawing/2014/main" id="{C3FBC5F0-C801-42E7-B120-3A036F279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254576</xdr:colOff>
      <xdr:row>8</xdr:row>
      <xdr:rowOff>115018</xdr:rowOff>
    </xdr:from>
    <xdr:to>
      <xdr:col>48</xdr:col>
      <xdr:colOff>571500</xdr:colOff>
      <xdr:row>46</xdr:row>
      <xdr:rowOff>169332</xdr:rowOff>
    </xdr:to>
    <xdr:sp macro="" textlink="">
      <xdr:nvSpPr>
        <xdr:cNvPr id="38" name="Rectangle: Rounded Corners 37">
          <a:extLst>
            <a:ext uri="{FF2B5EF4-FFF2-40B4-BE49-F238E27FC236}">
              <a16:creationId xmlns:a16="http://schemas.microsoft.com/office/drawing/2014/main" id="{D4D9858C-477D-4891-8627-B1AA76AF6CCF}"/>
            </a:ext>
          </a:extLst>
        </xdr:cNvPr>
        <xdr:cNvSpPr/>
      </xdr:nvSpPr>
      <xdr:spPr>
        <a:xfrm>
          <a:off x="20095331" y="2789207"/>
          <a:ext cx="11186207" cy="7156729"/>
        </a:xfrm>
        <a:prstGeom prst="round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31</xdr:col>
      <xdr:colOff>115454</xdr:colOff>
      <xdr:row>11</xdr:row>
      <xdr:rowOff>0</xdr:rowOff>
    </xdr:from>
    <xdr:to>
      <xdr:col>48</xdr:col>
      <xdr:colOff>148167</xdr:colOff>
      <xdr:row>45</xdr:row>
      <xdr:rowOff>21167</xdr:rowOff>
    </xdr:to>
    <xdr:graphicFrame macro="">
      <xdr:nvGraphicFramePr>
        <xdr:cNvPr id="40" name="Chart 39">
          <a:extLst>
            <a:ext uri="{FF2B5EF4-FFF2-40B4-BE49-F238E27FC236}">
              <a16:creationId xmlns:a16="http://schemas.microsoft.com/office/drawing/2014/main" id="{2350D69D-0063-4140-A3AF-DE1AB8E0D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115453</xdr:colOff>
      <xdr:row>42</xdr:row>
      <xdr:rowOff>92364</xdr:rowOff>
    </xdr:from>
    <xdr:to>
      <xdr:col>19</xdr:col>
      <xdr:colOff>46181</xdr:colOff>
      <xdr:row>74</xdr:row>
      <xdr:rowOff>95295</xdr:rowOff>
    </xdr:to>
    <xdr:sp macro="" textlink="">
      <xdr:nvSpPr>
        <xdr:cNvPr id="44" name="Rectangle: Rounded Corners 43">
          <a:extLst>
            <a:ext uri="{FF2B5EF4-FFF2-40B4-BE49-F238E27FC236}">
              <a16:creationId xmlns:a16="http://schemas.microsoft.com/office/drawing/2014/main" id="{A96085F5-F13B-47C7-B9AC-FDEB6BE464E3}"/>
            </a:ext>
          </a:extLst>
        </xdr:cNvPr>
        <xdr:cNvSpPr/>
      </xdr:nvSpPr>
      <xdr:spPr>
        <a:xfrm>
          <a:off x="2031998" y="7850909"/>
          <a:ext cx="9698183" cy="5914204"/>
        </a:xfrm>
        <a:prstGeom prst="round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3</xdr:col>
      <xdr:colOff>359831</xdr:colOff>
      <xdr:row>45</xdr:row>
      <xdr:rowOff>103909</xdr:rowOff>
    </xdr:from>
    <xdr:to>
      <xdr:col>18</xdr:col>
      <xdr:colOff>444499</xdr:colOff>
      <xdr:row>72</xdr:row>
      <xdr:rowOff>169333</xdr:rowOff>
    </xdr:to>
    <xdr:graphicFrame macro="">
      <xdr:nvGraphicFramePr>
        <xdr:cNvPr id="46" name="Chart 45">
          <a:extLst>
            <a:ext uri="{FF2B5EF4-FFF2-40B4-BE49-F238E27FC236}">
              <a16:creationId xmlns:a16="http://schemas.microsoft.com/office/drawing/2014/main" id="{8556354A-CC67-4F83-920D-18D53DEDC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479779</xdr:colOff>
      <xdr:row>47</xdr:row>
      <xdr:rowOff>167270</xdr:rowOff>
    </xdr:from>
    <xdr:to>
      <xdr:col>32</xdr:col>
      <xdr:colOff>254000</xdr:colOff>
      <xdr:row>82</xdr:row>
      <xdr:rowOff>112890</xdr:rowOff>
    </xdr:to>
    <xdr:sp macro="" textlink="">
      <xdr:nvSpPr>
        <xdr:cNvPr id="47" name="Rectangle: Rounded Corners 46">
          <a:extLst>
            <a:ext uri="{FF2B5EF4-FFF2-40B4-BE49-F238E27FC236}">
              <a16:creationId xmlns:a16="http://schemas.microsoft.com/office/drawing/2014/main" id="{73D35B77-B08C-464B-99D7-D94051CBE8B1}"/>
            </a:ext>
          </a:extLst>
        </xdr:cNvPr>
        <xdr:cNvSpPr/>
      </xdr:nvSpPr>
      <xdr:spPr>
        <a:xfrm>
          <a:off x="13749730" y="10091855"/>
          <a:ext cx="7747343" cy="6450498"/>
        </a:xfrm>
        <a:prstGeom prst="round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20</xdr:col>
      <xdr:colOff>197556</xdr:colOff>
      <xdr:row>50</xdr:row>
      <xdr:rowOff>141110</xdr:rowOff>
    </xdr:from>
    <xdr:to>
      <xdr:col>31</xdr:col>
      <xdr:colOff>592666</xdr:colOff>
      <xdr:row>81</xdr:row>
      <xdr:rowOff>28222</xdr:rowOff>
    </xdr:to>
    <xdr:graphicFrame macro="">
      <xdr:nvGraphicFramePr>
        <xdr:cNvPr id="49" name="Chart 48">
          <a:extLst>
            <a:ext uri="{FF2B5EF4-FFF2-40B4-BE49-F238E27FC236}">
              <a16:creationId xmlns:a16="http://schemas.microsoft.com/office/drawing/2014/main" id="{FA344231-68DF-4C7F-AF93-131DA103B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42333</xdr:colOff>
      <xdr:row>48</xdr:row>
      <xdr:rowOff>105833</xdr:rowOff>
    </xdr:from>
    <xdr:to>
      <xdr:col>49</xdr:col>
      <xdr:colOff>380999</xdr:colOff>
      <xdr:row>85</xdr:row>
      <xdr:rowOff>105833</xdr:rowOff>
    </xdr:to>
    <xdr:sp macro="" textlink="">
      <xdr:nvSpPr>
        <xdr:cNvPr id="50" name="Rectangle: Rounded Corners 49">
          <a:hlinkClick xmlns:r="http://schemas.openxmlformats.org/officeDocument/2006/relationships" r:id="rId9"/>
          <a:extLst>
            <a:ext uri="{FF2B5EF4-FFF2-40B4-BE49-F238E27FC236}">
              <a16:creationId xmlns:a16="http://schemas.microsoft.com/office/drawing/2014/main" id="{254E8263-77B2-40FF-88C4-88D12317211E}"/>
            </a:ext>
          </a:extLst>
        </xdr:cNvPr>
        <xdr:cNvSpPr/>
      </xdr:nvSpPr>
      <xdr:spPr>
        <a:xfrm>
          <a:off x="21568833" y="9249833"/>
          <a:ext cx="10159999" cy="7048500"/>
        </a:xfrm>
        <a:prstGeom prst="round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33</xdr:col>
      <xdr:colOff>401841</xdr:colOff>
      <xdr:row>51</xdr:row>
      <xdr:rowOff>16606</xdr:rowOff>
    </xdr:from>
    <xdr:to>
      <xdr:col>49</xdr:col>
      <xdr:colOff>88574</xdr:colOff>
      <xdr:row>82</xdr:row>
      <xdr:rowOff>80106</xdr:rowOff>
    </xdr:to>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55854EDF-8CAD-4E99-B25F-6962EA93F3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2233141" y="10539826"/>
              <a:ext cx="9440333" cy="5732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562428</xdr:colOff>
      <xdr:row>88</xdr:row>
      <xdr:rowOff>90713</xdr:rowOff>
    </xdr:from>
    <xdr:to>
      <xdr:col>33</xdr:col>
      <xdr:colOff>526143</xdr:colOff>
      <xdr:row>116</xdr:row>
      <xdr:rowOff>54428</xdr:rowOff>
    </xdr:to>
    <xdr:graphicFrame macro="">
      <xdr:nvGraphicFramePr>
        <xdr:cNvPr id="61" name="Chart 60">
          <a:extLst>
            <a:ext uri="{FF2B5EF4-FFF2-40B4-BE49-F238E27FC236}">
              <a16:creationId xmlns:a16="http://schemas.microsoft.com/office/drawing/2014/main" id="{EA92684A-95AE-4937-BA3F-F89508DC6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90713</xdr:colOff>
      <xdr:row>75</xdr:row>
      <xdr:rowOff>167268</xdr:rowOff>
    </xdr:from>
    <xdr:to>
      <xdr:col>18</xdr:col>
      <xdr:colOff>130098</xdr:colOff>
      <xdr:row>109</xdr:row>
      <xdr:rowOff>75502</xdr:rowOff>
    </xdr:to>
    <xdr:sp macro="" textlink="">
      <xdr:nvSpPr>
        <xdr:cNvPr id="65" name="Rectangle: Rounded Corners 64">
          <a:extLst>
            <a:ext uri="{FF2B5EF4-FFF2-40B4-BE49-F238E27FC236}">
              <a16:creationId xmlns:a16="http://schemas.microsoft.com/office/drawing/2014/main" id="{351CF670-64FA-42FB-AACF-13313A1C39F1}"/>
            </a:ext>
          </a:extLst>
        </xdr:cNvPr>
        <xdr:cNvSpPr/>
      </xdr:nvSpPr>
      <xdr:spPr>
        <a:xfrm>
          <a:off x="3398908" y="15295756"/>
          <a:ext cx="9387824" cy="6227258"/>
        </a:xfrm>
        <a:prstGeom prst="round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3</xdr:col>
      <xdr:colOff>362857</xdr:colOff>
      <xdr:row>79</xdr:row>
      <xdr:rowOff>167269</xdr:rowOff>
    </xdr:from>
    <xdr:to>
      <xdr:col>17</xdr:col>
      <xdr:colOff>483220</xdr:colOff>
      <xdr:row>107</xdr:row>
      <xdr:rowOff>145143</xdr:rowOff>
    </xdr:to>
    <xdr:graphicFrame macro="">
      <xdr:nvGraphicFramePr>
        <xdr:cNvPr id="59" name="Chart 58">
          <a:extLst>
            <a:ext uri="{FF2B5EF4-FFF2-40B4-BE49-F238E27FC236}">
              <a16:creationId xmlns:a16="http://schemas.microsoft.com/office/drawing/2014/main" id="{DF5C9AE4-1C7B-455A-B183-2FBB67822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35</xdr:col>
      <xdr:colOff>90713</xdr:colOff>
      <xdr:row>89</xdr:row>
      <xdr:rowOff>167268</xdr:rowOff>
    </xdr:from>
    <xdr:to>
      <xdr:col>51</xdr:col>
      <xdr:colOff>166584</xdr:colOff>
      <xdr:row>125</xdr:row>
      <xdr:rowOff>108857</xdr:rowOff>
    </xdr:to>
    <xdr:sp macro="" textlink="">
      <xdr:nvSpPr>
        <xdr:cNvPr id="70" name="Rectangle: Rounded Corners 69">
          <a:extLst>
            <a:ext uri="{FF2B5EF4-FFF2-40B4-BE49-F238E27FC236}">
              <a16:creationId xmlns:a16="http://schemas.microsoft.com/office/drawing/2014/main" id="{E96640B6-5C3F-44C0-B855-700495F90906}"/>
            </a:ext>
          </a:extLst>
        </xdr:cNvPr>
        <xdr:cNvSpPr/>
      </xdr:nvSpPr>
      <xdr:spPr>
        <a:xfrm>
          <a:off x="23173737" y="17897707"/>
          <a:ext cx="9888945" cy="6632321"/>
        </a:xfrm>
        <a:prstGeom prst="roundRect">
          <a:avLst/>
        </a:prstGeom>
        <a:solidFill>
          <a:sysClr val="window" lastClr="FFFFF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35</xdr:col>
      <xdr:colOff>544286</xdr:colOff>
      <xdr:row>92</xdr:row>
      <xdr:rowOff>108855</xdr:rowOff>
    </xdr:from>
    <xdr:to>
      <xdr:col>50</xdr:col>
      <xdr:colOff>290287</xdr:colOff>
      <xdr:row>123</xdr:row>
      <xdr:rowOff>181427</xdr:rowOff>
    </xdr:to>
    <xdr:graphicFrame macro="">
      <xdr:nvGraphicFramePr>
        <xdr:cNvPr id="64" name="Chart 63">
          <a:extLst>
            <a:ext uri="{FF2B5EF4-FFF2-40B4-BE49-F238E27FC236}">
              <a16:creationId xmlns:a16="http://schemas.microsoft.com/office/drawing/2014/main" id="{057B5730-13C9-4535-B602-E317911D6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541442</xdr:colOff>
      <xdr:row>11</xdr:row>
      <xdr:rowOff>51316</xdr:rowOff>
    </xdr:from>
    <xdr:to>
      <xdr:col>1</xdr:col>
      <xdr:colOff>1486993</xdr:colOff>
      <xdr:row>33</xdr:row>
      <xdr:rowOff>55327</xdr:rowOff>
    </xdr:to>
    <mc:AlternateContent xmlns:mc="http://schemas.openxmlformats.org/markup-compatibility/2006" xmlns:a14="http://schemas.microsoft.com/office/drawing/2010/main">
      <mc:Choice Requires="a14">
        <xdr:graphicFrame macro="">
          <xdr:nvGraphicFramePr>
            <xdr:cNvPr id="71" name="Year">
              <a:extLst>
                <a:ext uri="{FF2B5EF4-FFF2-40B4-BE49-F238E27FC236}">
                  <a16:creationId xmlns:a16="http://schemas.microsoft.com/office/drawing/2014/main" id="{01A6A66B-9AF7-4938-8583-28CA3A5FBB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1442" y="3302516"/>
              <a:ext cx="1826084" cy="4101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231305</xdr:colOff>
      <xdr:row>37</xdr:row>
      <xdr:rowOff>34696</xdr:rowOff>
    </xdr:from>
    <xdr:to>
      <xdr:col>1</xdr:col>
      <xdr:colOff>1731281</xdr:colOff>
      <xdr:row>46</xdr:row>
      <xdr:rowOff>8324</xdr:rowOff>
    </xdr:to>
    <mc:AlternateContent xmlns:mc="http://schemas.openxmlformats.org/markup-compatibility/2006" xmlns:a14="http://schemas.microsoft.com/office/drawing/2010/main">
      <mc:Choice Requires="a14">
        <xdr:graphicFrame macro="">
          <xdr:nvGraphicFramePr>
            <xdr:cNvPr id="74" name="Tax Sub-Category">
              <a:extLst>
                <a:ext uri="{FF2B5EF4-FFF2-40B4-BE49-F238E27FC236}">
                  <a16:creationId xmlns:a16="http://schemas.microsoft.com/office/drawing/2014/main" id="{8BDCB0CA-1222-4813-B9D7-52A7834C27D8}"/>
                </a:ext>
              </a:extLst>
            </xdr:cNvPr>
            <xdr:cNvGraphicFramePr/>
          </xdr:nvGraphicFramePr>
          <xdr:xfrm>
            <a:off x="0" y="0"/>
            <a:ext cx="0" cy="0"/>
          </xdr:xfrm>
          <a:graphic>
            <a:graphicData uri="http://schemas.microsoft.com/office/drawing/2010/slicer">
              <sle:slicer xmlns:sle="http://schemas.microsoft.com/office/drawing/2010/slicer" name="Tax Sub-Category"/>
            </a:graphicData>
          </a:graphic>
        </xdr:graphicFrame>
      </mc:Choice>
      <mc:Fallback xmlns="">
        <xdr:sp macro="" textlink="">
          <xdr:nvSpPr>
            <xdr:cNvPr id="0" name=""/>
            <xdr:cNvSpPr>
              <a:spLocks noTextEdit="1"/>
            </xdr:cNvSpPr>
          </xdr:nvSpPr>
          <xdr:spPr>
            <a:xfrm>
              <a:off x="231305" y="8128829"/>
              <a:ext cx="2380509" cy="1650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222394</xdr:colOff>
      <xdr:row>1</xdr:row>
      <xdr:rowOff>15967</xdr:rowOff>
    </xdr:from>
    <xdr:to>
      <xdr:col>52</xdr:col>
      <xdr:colOff>284786</xdr:colOff>
      <xdr:row>5</xdr:row>
      <xdr:rowOff>1143095</xdr:rowOff>
    </xdr:to>
    <xdr:pic>
      <xdr:nvPicPr>
        <xdr:cNvPr id="79" name="Picture 78" descr="Budget Icon PNG Images, Vectors Free Download - Pngtree">
          <a:hlinkClick xmlns:r="http://schemas.openxmlformats.org/officeDocument/2006/relationships" r:id="rId14"/>
          <a:extLst>
            <a:ext uri="{FF2B5EF4-FFF2-40B4-BE49-F238E27FC236}">
              <a16:creationId xmlns:a16="http://schemas.microsoft.com/office/drawing/2014/main" id="{01E09598-4CB4-44B1-AB50-944A4A77F31F}"/>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32112905" y="194307"/>
          <a:ext cx="1910647" cy="1840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538701</xdr:colOff>
      <xdr:row>48</xdr:row>
      <xdr:rowOff>180892</xdr:rowOff>
    </xdr:from>
    <xdr:to>
      <xdr:col>1</xdr:col>
      <xdr:colOff>1489544</xdr:colOff>
      <xdr:row>62</xdr:row>
      <xdr:rowOff>96823</xdr:rowOff>
    </xdr:to>
    <mc:AlternateContent xmlns:mc="http://schemas.openxmlformats.org/markup-compatibility/2006" xmlns:a14="http://schemas.microsoft.com/office/drawing/2010/main">
      <mc:Choice Requires="a14">
        <xdr:graphicFrame macro="">
          <xdr:nvGraphicFramePr>
            <xdr:cNvPr id="82" name="Sub-Category">
              <a:extLst>
                <a:ext uri="{FF2B5EF4-FFF2-40B4-BE49-F238E27FC236}">
                  <a16:creationId xmlns:a16="http://schemas.microsoft.com/office/drawing/2014/main" id="{98B3FC73-CC8A-45A2-9DA5-466AB4BBB2E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538701" y="10323959"/>
              <a:ext cx="1831376" cy="2523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538976</xdr:colOff>
      <xdr:row>13</xdr:row>
      <xdr:rowOff>74341</xdr:rowOff>
    </xdr:from>
    <xdr:to>
      <xdr:col>12</xdr:col>
      <xdr:colOff>576146</xdr:colOff>
      <xdr:row>16</xdr:row>
      <xdr:rowOff>111511</xdr:rowOff>
    </xdr:to>
    <xdr:sp macro="" textlink="">
      <xdr:nvSpPr>
        <xdr:cNvPr id="1025" name="Text Box 1">
          <a:hlinkClick xmlns:r="http://schemas.openxmlformats.org/officeDocument/2006/relationships" r:id="rId16"/>
          <a:extLst>
            <a:ext uri="{FF2B5EF4-FFF2-40B4-BE49-F238E27FC236}">
              <a16:creationId xmlns:a16="http://schemas.microsoft.com/office/drawing/2014/main" id="{FE76E57C-047D-4C4B-8882-2414507D0BF7}"/>
            </a:ext>
          </a:extLst>
        </xdr:cNvPr>
        <xdr:cNvSpPr txBox="1">
          <a:spLocks noChangeArrowheads="1"/>
        </xdr:cNvSpPr>
      </xdr:nvSpPr>
      <xdr:spPr bwMode="auto">
        <a:xfrm>
          <a:off x="3847171" y="3679902"/>
          <a:ext cx="5705707" cy="594731"/>
        </a:xfrm>
        <a:prstGeom prst="rect">
          <a:avLst/>
        </a:prstGeom>
        <a:solidFill>
          <a:srgbClr val="FFFFFF"/>
        </a:solidFill>
        <a:ln w="9525">
          <a:solidFill>
            <a:schemeClr val="bg1"/>
          </a:solidFill>
          <a:miter lim="800000"/>
          <a:headEnd/>
          <a:tailEnd/>
        </a:ln>
      </xdr:spPr>
      <xdr:txBody>
        <a:bodyPr vertOverflow="clip" wrap="square" lIns="27432" tIns="18288" rIns="0" bIns="0" anchor="t" upright="1"/>
        <a:lstStyle/>
        <a:p>
          <a:pPr algn="l" rtl="0">
            <a:defRPr sz="1000"/>
          </a:pPr>
          <a:r>
            <a:rPr lang="en-IN" sz="2800" b="1" i="0" u="none" strike="noStrike" baseline="0">
              <a:solidFill>
                <a:srgbClr val="191981"/>
              </a:solidFill>
              <a:latin typeface="Calibri"/>
              <a:ea typeface="Calibri"/>
              <a:cs typeface="Calibri"/>
            </a:rPr>
            <a:t>Revenue &amp; Capital Flows</a:t>
          </a:r>
        </a:p>
      </xdr:txBody>
    </xdr:sp>
    <xdr:clientData/>
  </xdr:twoCellAnchor>
  <xdr:twoCellAnchor>
    <xdr:from>
      <xdr:col>20</xdr:col>
      <xdr:colOff>236190</xdr:colOff>
      <xdr:row>14</xdr:row>
      <xdr:rowOff>39814</xdr:rowOff>
    </xdr:from>
    <xdr:to>
      <xdr:col>28</xdr:col>
      <xdr:colOff>464635</xdr:colOff>
      <xdr:row>16</xdr:row>
      <xdr:rowOff>111512</xdr:rowOff>
    </xdr:to>
    <xdr:sp macro="" textlink="">
      <xdr:nvSpPr>
        <xdr:cNvPr id="35" name="Text Box 1">
          <a:hlinkClick xmlns:r="http://schemas.openxmlformats.org/officeDocument/2006/relationships" r:id="rId17"/>
          <a:extLst>
            <a:ext uri="{FF2B5EF4-FFF2-40B4-BE49-F238E27FC236}">
              <a16:creationId xmlns:a16="http://schemas.microsoft.com/office/drawing/2014/main" id="{E79DE364-CA88-416D-AE19-361287B94CEA}"/>
            </a:ext>
          </a:extLst>
        </xdr:cNvPr>
        <xdr:cNvSpPr txBox="1">
          <a:spLocks noChangeArrowheads="1"/>
        </xdr:cNvSpPr>
      </xdr:nvSpPr>
      <xdr:spPr bwMode="auto">
        <a:xfrm>
          <a:off x="14119458" y="3831229"/>
          <a:ext cx="5134982" cy="443405"/>
        </a:xfrm>
        <a:prstGeom prst="rect">
          <a:avLst/>
        </a:prstGeom>
        <a:solidFill>
          <a:srgbClr val="FFFFFF"/>
        </a:solidFill>
        <a:ln w="9525">
          <a:solidFill>
            <a:schemeClr val="bg1"/>
          </a:solidFill>
          <a:miter lim="800000"/>
          <a:headEnd/>
          <a:tailEnd/>
        </a:ln>
      </xdr:spPr>
      <xdr:txBody>
        <a:bodyPr vertOverflow="clip" wrap="square" lIns="27432" tIns="18288" rIns="0" bIns="0" anchor="t" upright="1"/>
        <a:lstStyle/>
        <a:p>
          <a:pPr algn="l" rtl="0">
            <a:defRPr sz="1000"/>
          </a:pPr>
          <a:r>
            <a:rPr lang="en-IN" sz="2800" b="1">
              <a:solidFill>
                <a:srgbClr val="191981"/>
              </a:solidFill>
            </a:rPr>
            <a:t>Revenue Deficit vs Capital Surplus</a:t>
          </a:r>
          <a:endParaRPr lang="en-IN" sz="2800" b="1" i="0" u="none" strike="noStrike" baseline="0">
            <a:solidFill>
              <a:srgbClr val="191981"/>
            </a:solidFill>
            <a:latin typeface="Calibri"/>
            <a:ea typeface="Calibri"/>
            <a:cs typeface="Calibri"/>
          </a:endParaRPr>
        </a:p>
      </xdr:txBody>
    </xdr:sp>
    <xdr:clientData/>
  </xdr:twoCellAnchor>
  <xdr:twoCellAnchor>
    <xdr:from>
      <xdr:col>32</xdr:col>
      <xdr:colOff>111095</xdr:colOff>
      <xdr:row>8</xdr:row>
      <xdr:rowOff>122384</xdr:rowOff>
    </xdr:from>
    <xdr:to>
      <xdr:col>42</xdr:col>
      <xdr:colOff>252831</xdr:colOff>
      <xdr:row>11</xdr:row>
      <xdr:rowOff>28755</xdr:rowOff>
    </xdr:to>
    <xdr:sp macro="" textlink="">
      <xdr:nvSpPr>
        <xdr:cNvPr id="36" name="Text Box 1">
          <a:hlinkClick xmlns:r="http://schemas.openxmlformats.org/officeDocument/2006/relationships" r:id="rId18"/>
          <a:extLst>
            <a:ext uri="{FF2B5EF4-FFF2-40B4-BE49-F238E27FC236}">
              <a16:creationId xmlns:a16="http://schemas.microsoft.com/office/drawing/2014/main" id="{A6C7F634-C29E-4B38-93C0-805F67C4DEB6}"/>
            </a:ext>
          </a:extLst>
        </xdr:cNvPr>
        <xdr:cNvSpPr txBox="1">
          <a:spLocks noChangeArrowheads="1"/>
        </xdr:cNvSpPr>
      </xdr:nvSpPr>
      <xdr:spPr bwMode="auto">
        <a:xfrm>
          <a:off x="21159548" y="2796573"/>
          <a:ext cx="6180226" cy="467088"/>
        </a:xfrm>
        <a:prstGeom prst="rect">
          <a:avLst/>
        </a:prstGeom>
        <a:solidFill>
          <a:srgbClr val="FFFFFF"/>
        </a:solidFill>
        <a:ln w="9525">
          <a:solidFill>
            <a:schemeClr val="bg1"/>
          </a:solidFill>
          <a:miter lim="800000"/>
          <a:headEnd/>
          <a:tailEnd/>
        </a:ln>
      </xdr:spPr>
      <xdr:txBody>
        <a:bodyPr vertOverflow="clip" wrap="square" lIns="27432" tIns="18288" rIns="0" bIns="0" anchor="t" upright="1"/>
        <a:lstStyle/>
        <a:p>
          <a:pPr algn="l" rtl="0">
            <a:defRPr sz="1000"/>
          </a:pPr>
          <a:r>
            <a:rPr lang="en-IN" sz="2800" b="1">
              <a:solidFill>
                <a:srgbClr val="191981"/>
              </a:solidFill>
            </a:rPr>
            <a:t>Tax Revenue Composition</a:t>
          </a:r>
          <a:r>
            <a:rPr lang="en-IN" sz="2800" b="1" i="0" u="none" strike="noStrike" baseline="0">
              <a:solidFill>
                <a:srgbClr val="191981"/>
              </a:solidFill>
              <a:latin typeface="Calibri"/>
              <a:ea typeface="Calibri"/>
              <a:cs typeface="Calibri"/>
            </a:rPr>
            <a:t> </a:t>
          </a:r>
        </a:p>
      </xdr:txBody>
    </xdr:sp>
    <xdr:clientData/>
  </xdr:twoCellAnchor>
  <xdr:twoCellAnchor>
    <xdr:from>
      <xdr:col>40</xdr:col>
      <xdr:colOff>303559</xdr:colOff>
      <xdr:row>91</xdr:row>
      <xdr:rowOff>7885</xdr:rowOff>
    </xdr:from>
    <xdr:to>
      <xdr:col>49</xdr:col>
      <xdr:colOff>489413</xdr:colOff>
      <xdr:row>94</xdr:row>
      <xdr:rowOff>45055</xdr:rowOff>
    </xdr:to>
    <xdr:sp macro="" textlink="">
      <xdr:nvSpPr>
        <xdr:cNvPr id="39" name="Text Box 1">
          <a:hlinkClick xmlns:r="http://schemas.openxmlformats.org/officeDocument/2006/relationships" r:id="rId19"/>
          <a:extLst>
            <a:ext uri="{FF2B5EF4-FFF2-40B4-BE49-F238E27FC236}">
              <a16:creationId xmlns:a16="http://schemas.microsoft.com/office/drawing/2014/main" id="{E192E4C0-3720-43D6-AEF8-4E2700BC274B}"/>
            </a:ext>
          </a:extLst>
        </xdr:cNvPr>
        <xdr:cNvSpPr txBox="1">
          <a:spLocks noChangeArrowheads="1"/>
        </xdr:cNvSpPr>
      </xdr:nvSpPr>
      <xdr:spPr bwMode="auto">
        <a:xfrm>
          <a:off x="26453169" y="18110031"/>
          <a:ext cx="5705707" cy="594731"/>
        </a:xfrm>
        <a:prstGeom prst="rect">
          <a:avLst/>
        </a:prstGeom>
        <a:solidFill>
          <a:srgbClr val="FFFFFF"/>
        </a:solidFill>
        <a:ln w="9525">
          <a:solidFill>
            <a:schemeClr val="bg1"/>
          </a:solidFill>
          <a:miter lim="800000"/>
          <a:headEnd/>
          <a:tailEnd/>
        </a:ln>
      </xdr:spPr>
      <xdr:txBody>
        <a:bodyPr vertOverflow="clip" wrap="square" lIns="27432" tIns="18288" rIns="0" bIns="0" anchor="t" upright="1"/>
        <a:lstStyle/>
        <a:p>
          <a:pPr algn="l" rtl="0">
            <a:defRPr sz="1000"/>
          </a:pPr>
          <a:r>
            <a:rPr lang="en-IN" sz="2800" b="1">
              <a:solidFill>
                <a:srgbClr val="191981"/>
              </a:solidFill>
            </a:rPr>
            <a:t>Non-Tax Revenue Sources</a:t>
          </a:r>
          <a:endParaRPr lang="en-IN" sz="2800" b="1" i="0" u="none" strike="noStrike" baseline="0">
            <a:solidFill>
              <a:srgbClr val="191981"/>
            </a:solidFill>
            <a:latin typeface="Calibri"/>
            <a:ea typeface="Calibri"/>
            <a:cs typeface="Calibri"/>
          </a:endParaRPr>
        </a:p>
      </xdr:txBody>
    </xdr:sp>
    <xdr:clientData/>
  </xdr:twoCellAnchor>
  <xdr:twoCellAnchor>
    <xdr:from>
      <xdr:col>21</xdr:col>
      <xdr:colOff>433658</xdr:colOff>
      <xdr:row>48</xdr:row>
      <xdr:rowOff>82227</xdr:rowOff>
    </xdr:from>
    <xdr:to>
      <xdr:col>30</xdr:col>
      <xdr:colOff>48786</xdr:colOff>
      <xdr:row>50</xdr:row>
      <xdr:rowOff>153925</xdr:rowOff>
    </xdr:to>
    <xdr:sp macro="" textlink="">
      <xdr:nvSpPr>
        <xdr:cNvPr id="42" name="Text Box 1">
          <a:hlinkClick xmlns:r="http://schemas.openxmlformats.org/officeDocument/2006/relationships" r:id="rId9"/>
          <a:extLst>
            <a:ext uri="{FF2B5EF4-FFF2-40B4-BE49-F238E27FC236}">
              <a16:creationId xmlns:a16="http://schemas.microsoft.com/office/drawing/2014/main" id="{C69CCB70-2695-4AD3-A370-25D8B51C413F}"/>
            </a:ext>
          </a:extLst>
        </xdr:cNvPr>
        <xdr:cNvSpPr txBox="1">
          <a:spLocks noChangeArrowheads="1"/>
        </xdr:cNvSpPr>
      </xdr:nvSpPr>
      <xdr:spPr bwMode="auto">
        <a:xfrm>
          <a:off x="14930243" y="10192666"/>
          <a:ext cx="5134982" cy="443405"/>
        </a:xfrm>
        <a:prstGeom prst="rect">
          <a:avLst/>
        </a:prstGeom>
        <a:solidFill>
          <a:srgbClr val="FFFFFF"/>
        </a:solidFill>
        <a:ln w="9525">
          <a:solidFill>
            <a:schemeClr val="bg1"/>
          </a:solidFill>
          <a:miter lim="800000"/>
          <a:headEnd/>
          <a:tailEnd/>
        </a:ln>
      </xdr:spPr>
      <xdr:txBody>
        <a:bodyPr vertOverflow="clip" wrap="square" lIns="27432" tIns="18288" rIns="0" bIns="0" anchor="t" upright="1"/>
        <a:lstStyle/>
        <a:p>
          <a:pPr algn="l" rtl="0">
            <a:defRPr sz="1000"/>
          </a:pPr>
          <a:r>
            <a:rPr lang="en-IN" sz="2800" b="1">
              <a:solidFill>
                <a:srgbClr val="191981"/>
              </a:solidFill>
            </a:rPr>
            <a:t>Capital Expenditure by Category</a:t>
          </a:r>
          <a:endParaRPr lang="en-IN" sz="2800" b="1" i="0" u="none" strike="noStrike" baseline="0">
            <a:solidFill>
              <a:srgbClr val="191981"/>
            </a:solidFill>
            <a:latin typeface="Calibri"/>
            <a:ea typeface="Calibri"/>
            <a:cs typeface="Calibri"/>
          </a:endParaRPr>
        </a:p>
      </xdr:txBody>
    </xdr:sp>
    <xdr:clientData/>
  </xdr:twoCellAnchor>
  <xdr:twoCellAnchor>
    <xdr:from>
      <xdr:col>4</xdr:col>
      <xdr:colOff>47081</xdr:colOff>
      <xdr:row>42</xdr:row>
      <xdr:rowOff>160285</xdr:rowOff>
    </xdr:from>
    <xdr:to>
      <xdr:col>12</xdr:col>
      <xdr:colOff>275526</xdr:colOff>
      <xdr:row>45</xdr:row>
      <xdr:rowOff>46129</xdr:rowOff>
    </xdr:to>
    <xdr:sp macro="" textlink="">
      <xdr:nvSpPr>
        <xdr:cNvPr id="43" name="Text Box 1">
          <a:hlinkClick xmlns:r="http://schemas.openxmlformats.org/officeDocument/2006/relationships" r:id="rId20"/>
          <a:extLst>
            <a:ext uri="{FF2B5EF4-FFF2-40B4-BE49-F238E27FC236}">
              <a16:creationId xmlns:a16="http://schemas.microsoft.com/office/drawing/2014/main" id="{BD80E10E-9CA6-4063-A5F2-CFBCE469A0F3}"/>
            </a:ext>
          </a:extLst>
        </xdr:cNvPr>
        <xdr:cNvSpPr txBox="1">
          <a:spLocks noChangeArrowheads="1"/>
        </xdr:cNvSpPr>
      </xdr:nvSpPr>
      <xdr:spPr bwMode="auto">
        <a:xfrm>
          <a:off x="4117276" y="9155602"/>
          <a:ext cx="5134982" cy="443405"/>
        </a:xfrm>
        <a:prstGeom prst="rect">
          <a:avLst/>
        </a:prstGeom>
        <a:solidFill>
          <a:srgbClr val="FFFFFF"/>
        </a:solidFill>
        <a:ln w="9525">
          <a:solidFill>
            <a:schemeClr val="bg1"/>
          </a:solidFill>
          <a:miter lim="800000"/>
          <a:headEnd/>
          <a:tailEnd/>
        </a:ln>
      </xdr:spPr>
      <xdr:txBody>
        <a:bodyPr vertOverflow="clip" wrap="square" lIns="27432" tIns="18288" rIns="0" bIns="0" anchor="t" upright="1"/>
        <a:lstStyle/>
        <a:p>
          <a:pPr algn="l" rtl="0">
            <a:defRPr sz="1000"/>
          </a:pPr>
          <a:r>
            <a:rPr lang="en-IN" sz="2800" b="1">
              <a:solidFill>
                <a:srgbClr val="191981"/>
              </a:solidFill>
            </a:rPr>
            <a:t>Defence Budget Breakdown</a:t>
          </a:r>
          <a:endParaRPr lang="en-IN" sz="2800" b="1" i="0" u="none" strike="noStrike" baseline="0">
            <a:solidFill>
              <a:srgbClr val="191981"/>
            </a:solidFill>
            <a:latin typeface="Calibri"/>
            <a:ea typeface="Calibri"/>
            <a:cs typeface="Calibri"/>
          </a:endParaRPr>
        </a:p>
      </xdr:txBody>
    </xdr:sp>
    <xdr:clientData/>
  </xdr:twoCellAnchor>
  <xdr:twoCellAnchor>
    <xdr:from>
      <xdr:col>4</xdr:col>
      <xdr:colOff>55312</xdr:colOff>
      <xdr:row>77</xdr:row>
      <xdr:rowOff>47792</xdr:rowOff>
    </xdr:from>
    <xdr:to>
      <xdr:col>13</xdr:col>
      <xdr:colOff>241165</xdr:colOff>
      <xdr:row>80</xdr:row>
      <xdr:rowOff>84962</xdr:rowOff>
    </xdr:to>
    <xdr:sp macro="" textlink="">
      <xdr:nvSpPr>
        <xdr:cNvPr id="45" name="Text Box 1">
          <a:hlinkClick xmlns:r="http://schemas.openxmlformats.org/officeDocument/2006/relationships" r:id="rId1"/>
          <a:extLst>
            <a:ext uri="{FF2B5EF4-FFF2-40B4-BE49-F238E27FC236}">
              <a16:creationId xmlns:a16="http://schemas.microsoft.com/office/drawing/2014/main" id="{DB5C297E-1767-40F2-A08A-3EFEBA0D57D7}"/>
            </a:ext>
          </a:extLst>
        </xdr:cNvPr>
        <xdr:cNvSpPr txBox="1">
          <a:spLocks noChangeArrowheads="1"/>
        </xdr:cNvSpPr>
      </xdr:nvSpPr>
      <xdr:spPr bwMode="auto">
        <a:xfrm>
          <a:off x="4125507" y="15547987"/>
          <a:ext cx="5705707" cy="594731"/>
        </a:xfrm>
        <a:prstGeom prst="rect">
          <a:avLst/>
        </a:prstGeom>
        <a:solidFill>
          <a:srgbClr val="FFFFFF"/>
        </a:solidFill>
        <a:ln w="9525">
          <a:solidFill>
            <a:schemeClr val="bg1"/>
          </a:solidFill>
          <a:miter lim="800000"/>
          <a:headEnd/>
          <a:tailEnd/>
        </a:ln>
      </xdr:spPr>
      <xdr:txBody>
        <a:bodyPr vertOverflow="clip" wrap="square" lIns="27432" tIns="18288" rIns="0" bIns="0" anchor="t" upright="1"/>
        <a:lstStyle/>
        <a:p>
          <a:pPr algn="l" rtl="0">
            <a:defRPr sz="1000"/>
          </a:pPr>
          <a:r>
            <a:rPr lang="en-IN" sz="2800" b="1">
              <a:solidFill>
                <a:srgbClr val="191981"/>
              </a:solidFill>
            </a:rPr>
            <a:t>Debt Instrument Mix </a:t>
          </a:r>
          <a:endParaRPr lang="en-IN" sz="2800" b="1" i="0" u="none" strike="noStrike" baseline="0">
            <a:solidFill>
              <a:srgbClr val="191981"/>
            </a:solidFill>
            <a:latin typeface="Calibri"/>
            <a:ea typeface="Calibri"/>
            <a:cs typeface="Calibri"/>
          </a:endParaRPr>
        </a:p>
      </xdr:txBody>
    </xdr:sp>
    <xdr:clientData/>
  </xdr:twoCellAnchor>
  <xdr:twoCellAnchor>
    <xdr:from>
      <xdr:col>40</xdr:col>
      <xdr:colOff>580126</xdr:colOff>
      <xdr:row>0</xdr:row>
      <xdr:rowOff>135072</xdr:rowOff>
    </xdr:from>
    <xdr:to>
      <xdr:col>49</xdr:col>
      <xdr:colOff>328655</xdr:colOff>
      <xdr:row>7</xdr:row>
      <xdr:rowOff>329922</xdr:rowOff>
    </xdr:to>
    <xdr:graphicFrame macro="">
      <xdr:nvGraphicFramePr>
        <xdr:cNvPr id="48" name="Chart 47">
          <a:extLst>
            <a:ext uri="{FF2B5EF4-FFF2-40B4-BE49-F238E27FC236}">
              <a16:creationId xmlns:a16="http://schemas.microsoft.com/office/drawing/2014/main" id="{5B91993E-F0D4-45CD-A699-B81CA168A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137159</xdr:colOff>
      <xdr:row>0</xdr:row>
      <xdr:rowOff>76200</xdr:rowOff>
    </xdr:from>
    <xdr:to>
      <xdr:col>11</xdr:col>
      <xdr:colOff>552658</xdr:colOff>
      <xdr:row>37</xdr:row>
      <xdr:rowOff>164757</xdr:rowOff>
    </xdr:to>
    <xdr:sp macro="" textlink="">
      <xdr:nvSpPr>
        <xdr:cNvPr id="2" name="Rectangle: Single Corner Rounded 1">
          <a:extLst>
            <a:ext uri="{FF2B5EF4-FFF2-40B4-BE49-F238E27FC236}">
              <a16:creationId xmlns:a16="http://schemas.microsoft.com/office/drawing/2014/main" id="{E8A54804-BCFC-4C41-BA61-36E463ECC7C9}"/>
            </a:ext>
          </a:extLst>
        </xdr:cNvPr>
        <xdr:cNvSpPr/>
      </xdr:nvSpPr>
      <xdr:spPr>
        <a:xfrm>
          <a:off x="137159" y="76200"/>
          <a:ext cx="7098445" cy="6946557"/>
        </a:xfrm>
        <a:prstGeom prst="round1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336871</xdr:colOff>
      <xdr:row>1</xdr:row>
      <xdr:rowOff>112038</xdr:rowOff>
    </xdr:from>
    <xdr:to>
      <xdr:col>11</xdr:col>
      <xdr:colOff>108857</xdr:colOff>
      <xdr:row>36</xdr:row>
      <xdr:rowOff>144162</xdr:rowOff>
    </xdr:to>
    <xdr:sp macro="" textlink="">
      <xdr:nvSpPr>
        <xdr:cNvPr id="3" name="TextBox 2">
          <a:extLst>
            <a:ext uri="{FF2B5EF4-FFF2-40B4-BE49-F238E27FC236}">
              <a16:creationId xmlns:a16="http://schemas.microsoft.com/office/drawing/2014/main" id="{CEF52FA5-03CD-4380-9F36-BF0FF44941C5}"/>
            </a:ext>
          </a:extLst>
        </xdr:cNvPr>
        <xdr:cNvSpPr txBox="1"/>
      </xdr:nvSpPr>
      <xdr:spPr>
        <a:xfrm>
          <a:off x="336871" y="297389"/>
          <a:ext cx="6454932" cy="651942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a:p>
          <a:pPr algn="ctr"/>
          <a:r>
            <a:rPr lang="en-IN" sz="2000" b="1" u="sng">
              <a:solidFill>
                <a:schemeClr val="accent2"/>
              </a:solidFill>
            </a:rPr>
            <a:t>Key Findings</a:t>
          </a:r>
        </a:p>
        <a:p>
          <a:pPr algn="ctr"/>
          <a:endParaRPr lang="en-IN" sz="2000" b="1" u="sng"/>
        </a:p>
        <a:p>
          <a:r>
            <a:rPr lang="en-IN" sz="1200" b="1">
              <a:solidFill>
                <a:srgbClr val="7030A0"/>
              </a:solidFill>
            </a:rPr>
            <a:t>• Revenue deficit exists every year (spending exceeds revenue)</a:t>
          </a:r>
        </a:p>
        <a:p>
          <a:r>
            <a:rPr lang="en-IN" sz="1200"/>
            <a:t>• Capital flows are about </a:t>
          </a:r>
          <a:r>
            <a:rPr lang="en-IN" sz="1200" b="1"/>
            <a:t>3× larger</a:t>
          </a:r>
          <a:r>
            <a:rPr lang="en-IN" sz="1200"/>
            <a:t> than revenue flows.</a:t>
          </a:r>
        </a:p>
        <a:p>
          <a:r>
            <a:rPr lang="en-IN" sz="1200"/>
            <a:t>• Spending grew fastest after </a:t>
          </a:r>
          <a:r>
            <a:rPr lang="en-IN" sz="1200" b="1"/>
            <a:t>2021</a:t>
          </a:r>
          <a:r>
            <a:rPr lang="en-IN" sz="1200"/>
            <a:t>.</a:t>
          </a:r>
        </a:p>
        <a:p>
          <a:r>
            <a:rPr lang="en-IN" sz="1200" b="1">
              <a:solidFill>
                <a:srgbClr val="7030A0"/>
              </a:solidFill>
            </a:rPr>
            <a:t>• GST (2017–18) was the biggest tax reform and replaced Service Tax.</a:t>
          </a:r>
        </a:p>
        <a:p>
          <a:r>
            <a:rPr lang="en-IN" sz="1200"/>
            <a:t>• Income Tax grew strongly, while Corporation Tax share declined after </a:t>
          </a:r>
          <a:r>
            <a:rPr lang="en-IN" sz="1200" b="1"/>
            <a:t>2019</a:t>
          </a:r>
          <a:r>
            <a:rPr lang="en-IN" sz="1200"/>
            <a:t>.</a:t>
          </a:r>
        </a:p>
        <a:p>
          <a:r>
            <a:rPr lang="en-IN" sz="1200" b="1">
              <a:solidFill>
                <a:srgbClr val="7030A0"/>
              </a:solidFill>
              <a:latin typeface="+mn-lt"/>
              <a:ea typeface="+mn-ea"/>
              <a:cs typeface="+mn-cs"/>
            </a:rPr>
            <a:t>• Infrastructure capex remained flat until 2020 and then nearly tripled after 2021</a:t>
          </a:r>
          <a:r>
            <a:rPr lang="en-IN" sz="1200" b="1">
              <a:solidFill>
                <a:srgbClr val="7030A0"/>
              </a:solidFill>
            </a:rPr>
            <a:t>.</a:t>
          </a:r>
        </a:p>
        <a:p>
          <a:r>
            <a:rPr lang="en-IN" sz="1200" b="1">
              <a:solidFill>
                <a:srgbClr val="7030A0"/>
              </a:solidFill>
            </a:rPr>
            <a:t>• Roads and Railways account for about 90% of infrastructure spending.</a:t>
          </a:r>
        </a:p>
        <a:p>
          <a:r>
            <a:rPr lang="en-IN" sz="1200"/>
            <a:t>• Social Services capex remains very low.</a:t>
          </a:r>
        </a:p>
        <a:p>
          <a:r>
            <a:rPr lang="en-IN" sz="1200"/>
            <a:t>• Defence R&amp;D stayed around </a:t>
          </a:r>
          <a:r>
            <a:rPr lang="en-IN" sz="1200" b="1"/>
            <a:t>2–3%</a:t>
          </a:r>
          <a:r>
            <a:rPr lang="en-IN" sz="1200"/>
            <a:t> of the defence budget.</a:t>
          </a:r>
        </a:p>
        <a:p>
          <a:r>
            <a:rPr lang="en-IN" sz="1200"/>
            <a:t>• Army receives </a:t>
          </a:r>
          <a:r>
            <a:rPr lang="en-IN" sz="1200" b="1"/>
            <a:t>40%+</a:t>
          </a:r>
          <a:r>
            <a:rPr lang="en-IN" sz="1200"/>
            <a:t> of defence spending every year.</a:t>
          </a:r>
        </a:p>
        <a:p>
          <a:r>
            <a:rPr lang="en-IN" sz="1200"/>
            <a:t>• Capital defence spending increased sharply after </a:t>
          </a:r>
          <a:r>
            <a:rPr lang="en-IN" sz="1200" b="1"/>
            <a:t>2020</a:t>
          </a:r>
          <a:r>
            <a:rPr lang="en-IN" sz="1200"/>
            <a:t>.</a:t>
          </a:r>
        </a:p>
        <a:p>
          <a:r>
            <a:rPr lang="en-IN" sz="1200"/>
            <a:t>• Government borrowing is mainly domestic.</a:t>
          </a:r>
        </a:p>
        <a:p>
          <a:r>
            <a:rPr lang="en-IN" sz="1200" b="1">
              <a:solidFill>
                <a:srgbClr val="7030A0"/>
              </a:solidFill>
            </a:rPr>
            <a:t>• Net debt peaked in 2020–21 and remains above pre-COVID levels.</a:t>
          </a:r>
        </a:p>
        <a:p>
          <a:r>
            <a:rPr lang="en-IN" sz="1200"/>
            <a:t>• Dividends and Economic Services are the main drivers of NTR growth.</a:t>
          </a:r>
        </a:p>
        <a:p>
          <a:r>
            <a:rPr lang="en-IN" sz="1200"/>
            <a:t>• BE </a:t>
          </a:r>
          <a:r>
            <a:rPr lang="en-IN" sz="1200" b="1"/>
            <a:t>2025–26</a:t>
          </a:r>
          <a:r>
            <a:rPr lang="en-IN" sz="1200"/>
            <a:t> shows the highest budget allocations on record.</a:t>
          </a:r>
        </a:p>
        <a:p>
          <a:endParaRPr lang="en-IN"/>
        </a:p>
        <a:p>
          <a:pPr algn="ctr"/>
          <a:r>
            <a:rPr lang="en-IN" sz="1800" b="1" u="sng">
              <a:solidFill>
                <a:schemeClr val="accent2"/>
              </a:solidFill>
            </a:rPr>
            <a:t>Recommendations</a:t>
          </a:r>
        </a:p>
        <a:p>
          <a:pPr algn="ctr"/>
          <a:endParaRPr lang="en-IN" sz="1800" b="1" u="sng"/>
        </a:p>
        <a:p>
          <a:pPr algn="l"/>
          <a:r>
            <a:rPr lang="en-IN" sz="1200" b="1">
              <a:solidFill>
                <a:srgbClr val="7030A0"/>
              </a:solidFill>
            </a:rPr>
            <a:t>• Achieve a revenue surplus by 2027–28.</a:t>
          </a:r>
        </a:p>
        <a:p>
          <a:pPr algn="l"/>
          <a:r>
            <a:rPr lang="en-IN" sz="1200"/>
            <a:t>• Reduce GST slabs from </a:t>
          </a:r>
          <a:r>
            <a:rPr lang="en-IN" sz="1200" b="1"/>
            <a:t>4 to 3</a:t>
          </a:r>
          <a:r>
            <a:rPr lang="en-IN" sz="1200"/>
            <a:t>.</a:t>
          </a:r>
        </a:p>
        <a:p>
          <a:pPr algn="l"/>
          <a:r>
            <a:rPr lang="en-IN" sz="1200" b="1">
              <a:solidFill>
                <a:srgbClr val="7030A0"/>
              </a:solidFill>
            </a:rPr>
            <a:t>• Increase Social Services capex from 5% to 15% by 2030.</a:t>
          </a:r>
        </a:p>
        <a:p>
          <a:pPr algn="l"/>
          <a:r>
            <a:rPr lang="en-IN" sz="1200"/>
            <a:t>• Raise Defence R&amp;D from </a:t>
          </a:r>
          <a:r>
            <a:rPr lang="en-IN" sz="1200" b="1"/>
            <a:t>2–3% to 8%</a:t>
          </a:r>
          <a:r>
            <a:rPr lang="en-IN" sz="1200"/>
            <a:t> of the defence budget.</a:t>
          </a:r>
        </a:p>
        <a:p>
          <a:pPr algn="l"/>
          <a:r>
            <a:rPr lang="en-IN" sz="1200" b="1">
              <a:solidFill>
                <a:srgbClr val="7030A0"/>
              </a:solidFill>
            </a:rPr>
            <a:t>• Expand infrastructure investment beyond Roads and Railways.</a:t>
          </a:r>
        </a:p>
        <a:p>
          <a:pPr algn="l"/>
          <a:r>
            <a:rPr lang="en-IN" sz="1200"/>
            <a:t>• Develop new non-tax revenue sources.</a:t>
          </a:r>
        </a:p>
        <a:p>
          <a:pPr algn="l"/>
          <a:r>
            <a:rPr lang="en-IN" sz="1200"/>
            <a:t>• Reduce dependence on PSU dividends.</a:t>
          </a:r>
        </a:p>
        <a:p>
          <a:pPr algn="l"/>
          <a:r>
            <a:rPr lang="en-IN" sz="1200"/>
            <a:t>• Create a medium-term debt reduction plan.</a:t>
          </a:r>
        </a:p>
        <a:p>
          <a:pPr algn="l"/>
          <a:r>
            <a:rPr lang="en-IN" sz="1200"/>
            <a:t>• Improve accuracy of Budget Estimates (BE) and Revised Estimates (RE).</a:t>
          </a:r>
        </a:p>
        <a:p>
          <a:endParaRPr lang="en-IN"/>
        </a:p>
        <a:p>
          <a:r>
            <a:rPr lang="en-IN" i="1"/>
            <a:t>Source: Consolidated Fund of India | 2013–14 to BE 2025–26 | ₹ Crore</a:t>
          </a:r>
          <a:endParaRPr lang="en-IN"/>
        </a:p>
        <a:p>
          <a:endParaRPr lang="en-IN"/>
        </a:p>
        <a:p>
          <a:endParaRPr lang="en-IN"/>
        </a:p>
        <a:p>
          <a:endParaRPr lang="en-IN"/>
        </a:p>
        <a:p>
          <a:endParaRPr lang="en-IN"/>
        </a:p>
        <a:p>
          <a:endParaRPr lang="en-IN"/>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endParaRPr lang="en-IN" i="1"/>
        </a:p>
        <a:p>
          <a:r>
            <a:rPr lang="en-IN" i="1"/>
            <a:t>Source: Consolidated Fund of India (2013–14 to BE 2025–26), values in ₹ Crore.</a:t>
          </a:r>
          <a:endParaRPr lang="en-IN"/>
        </a:p>
        <a:p>
          <a:endParaRPr lang="en-IN" sz="1100"/>
        </a:p>
      </xdr:txBody>
    </xdr:sp>
    <xdr:clientData/>
  </xdr:twoCellAnchor>
  <xdr:twoCellAnchor editAs="oneCell">
    <xdr:from>
      <xdr:col>9</xdr:col>
      <xdr:colOff>439579</xdr:colOff>
      <xdr:row>28</xdr:row>
      <xdr:rowOff>102703</xdr:rowOff>
    </xdr:from>
    <xdr:to>
      <xdr:col>13</xdr:col>
      <xdr:colOff>391298</xdr:colOff>
      <xdr:row>41</xdr:row>
      <xdr:rowOff>114713</xdr:rowOff>
    </xdr:to>
    <xdr:pic>
      <xdr:nvPicPr>
        <xdr:cNvPr id="9" name="Picture 8" descr="Budgeting Icons - Free Download in SVG, PNG">
          <a:hlinkClick xmlns:r="http://schemas.openxmlformats.org/officeDocument/2006/relationships" r:id="rId1"/>
          <a:extLst>
            <a:ext uri="{FF2B5EF4-FFF2-40B4-BE49-F238E27FC236}">
              <a16:creationId xmlns:a16="http://schemas.microsoft.com/office/drawing/2014/main" id="{3BA20E1D-C6C4-40C9-AD91-13F9AF0AD2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07444" y="5292541"/>
          <a:ext cx="2381881" cy="24215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195755</xdr:colOff>
      <xdr:row>2</xdr:row>
      <xdr:rowOff>105103</xdr:rowOff>
    </xdr:from>
    <xdr:to>
      <xdr:col>26</xdr:col>
      <xdr:colOff>315310</xdr:colOff>
      <xdr:row>51</xdr:row>
      <xdr:rowOff>114300</xdr:rowOff>
    </xdr:to>
    <xdr:sp macro="" textlink="">
      <xdr:nvSpPr>
        <xdr:cNvPr id="8" name="Rectangle: Rounded Corners 7">
          <a:extLst>
            <a:ext uri="{FF2B5EF4-FFF2-40B4-BE49-F238E27FC236}">
              <a16:creationId xmlns:a16="http://schemas.microsoft.com/office/drawing/2014/main" id="{3254F9E8-5FB0-442B-B46A-A6689157B262}"/>
            </a:ext>
          </a:extLst>
        </xdr:cNvPr>
        <xdr:cNvSpPr/>
      </xdr:nvSpPr>
      <xdr:spPr>
        <a:xfrm>
          <a:off x="16276583" y="551793"/>
          <a:ext cx="14124589" cy="9232024"/>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17</xdr:row>
      <xdr:rowOff>169334</xdr:rowOff>
    </xdr:from>
    <xdr:to>
      <xdr:col>8</xdr:col>
      <xdr:colOff>359832</xdr:colOff>
      <xdr:row>52</xdr:row>
      <xdr:rowOff>154983</xdr:rowOff>
    </xdr:to>
    <xdr:graphicFrame macro="">
      <xdr:nvGraphicFramePr>
        <xdr:cNvPr id="2" name="Chart 1">
          <a:extLst>
            <a:ext uri="{FF2B5EF4-FFF2-40B4-BE49-F238E27FC236}">
              <a16:creationId xmlns:a16="http://schemas.microsoft.com/office/drawing/2014/main" id="{67B410EF-0B6E-4B2F-BF7D-DBE9D80C3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819149</xdr:colOff>
      <xdr:row>5</xdr:row>
      <xdr:rowOff>133350</xdr:rowOff>
    </xdr:from>
    <xdr:to>
      <xdr:col>24</xdr:col>
      <xdr:colOff>289034</xdr:colOff>
      <xdr:row>47</xdr:row>
      <xdr:rowOff>171450</xdr:rowOff>
    </xdr:to>
    <xdr:sp macro="" textlink="">
      <xdr:nvSpPr>
        <xdr:cNvPr id="7" name="TextBox 6">
          <a:extLst>
            <a:ext uri="{FF2B5EF4-FFF2-40B4-BE49-F238E27FC236}">
              <a16:creationId xmlns:a16="http://schemas.microsoft.com/office/drawing/2014/main" id="{5F8A5433-5B78-42D0-8052-D360AB7A4A0A}"/>
            </a:ext>
          </a:extLst>
        </xdr:cNvPr>
        <xdr:cNvSpPr txBox="1"/>
      </xdr:nvSpPr>
      <xdr:spPr>
        <a:xfrm>
          <a:off x="16899977" y="1131833"/>
          <a:ext cx="12266229" cy="7973410"/>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r>
            <a:rPr lang="en-IN" sz="2800">
              <a:solidFill>
                <a:sysClr val="windowText" lastClr="000000"/>
              </a:solidFill>
            </a:rPr>
            <a:t>•Capital spending and capital receipts are much higher than revenue items every year.</a:t>
          </a:r>
        </a:p>
        <a:p>
          <a:endParaRPr lang="en-IN" sz="2800">
            <a:solidFill>
              <a:sysClr val="windowText" lastClr="000000"/>
            </a:solidFill>
          </a:endParaRPr>
        </a:p>
        <a:p>
          <a:r>
            <a:rPr lang="en-IN" sz="2800">
              <a:solidFill>
                <a:sysClr val="windowText" lastClr="000000"/>
              </a:solidFill>
            </a:rPr>
            <a:t>•All four lines go up over time, showing growth in government income and spending.</a:t>
          </a:r>
        </a:p>
        <a:p>
          <a:endParaRPr lang="en-IN" sz="2800">
            <a:solidFill>
              <a:sysClr val="windowText" lastClr="000000"/>
            </a:solidFill>
          </a:endParaRPr>
        </a:p>
        <a:p>
          <a:r>
            <a:rPr lang="en-IN" sz="2800">
              <a:solidFill>
                <a:sysClr val="windowText" lastClr="000000"/>
              </a:solidFill>
            </a:rPr>
            <a:t>•Revenue expenditure is always more than revenue receipts, meaning the government runs a revenue deficit every year.</a:t>
          </a:r>
        </a:p>
        <a:p>
          <a:endParaRPr lang="en-IN" sz="2800">
            <a:solidFill>
              <a:sysClr val="windowText" lastClr="000000"/>
            </a:solidFill>
          </a:endParaRPr>
        </a:p>
        <a:p>
          <a:r>
            <a:rPr lang="en-IN" sz="2800">
              <a:solidFill>
                <a:sysClr val="windowText" lastClr="000000"/>
              </a:solidFill>
            </a:rPr>
            <a:t>•After 2021, the increase becomes much faster due to higher infrastructure spending.</a:t>
          </a:r>
        </a:p>
        <a:p>
          <a:endParaRPr lang="en-IN" sz="2800">
            <a:solidFill>
              <a:sysClr val="windowText" lastClr="000000"/>
            </a:solidFill>
          </a:endParaRPr>
        </a:p>
        <a:p>
          <a:r>
            <a:rPr lang="en-IN" sz="2800">
              <a:solidFill>
                <a:sysClr val="windowText" lastClr="000000"/>
              </a:solidFill>
            </a:rPr>
            <a:t>•There is a small slowdown around 2019–20 before COVID.</a:t>
          </a:r>
        </a:p>
        <a:p>
          <a:endParaRPr lang="en-IN" sz="2800">
            <a:solidFill>
              <a:sysClr val="windowText" lastClr="000000"/>
            </a:solidFill>
          </a:endParaRPr>
        </a:p>
        <a:p>
          <a:r>
            <a:rPr lang="en-IN" sz="2800">
              <a:solidFill>
                <a:sysClr val="windowText" lastClr="000000"/>
              </a:solidFill>
            </a:rPr>
            <a:t>•Budget Estimates (BE) 2025–26 are the highest, while Revised Estimates (RE) 2024–25 are slightly lower than planned.</a:t>
          </a:r>
        </a:p>
        <a:p>
          <a:endParaRPr lang="en-IN" sz="2800">
            <a:solidFill>
              <a:sysClr val="windowText" lastClr="000000"/>
            </a:solidFill>
          </a:endParaRPr>
        </a:p>
        <a:p>
          <a:r>
            <a:rPr lang="en-IN" sz="2800">
              <a:solidFill>
                <a:sysClr val="windowText" lastClr="000000"/>
              </a:solidFill>
            </a:rPr>
            <a:t>•The gap between capital and revenue flows remains large throughout the period</a:t>
          </a:r>
          <a:r>
            <a:rPr lang="en-IN" sz="2800">
              <a:solidFill>
                <a:srgbClr val="008000"/>
              </a:solidFill>
            </a:rPr>
            <a:t>.</a:t>
          </a:r>
        </a:p>
        <a:p>
          <a:endParaRPr lang="en-IN" sz="2400"/>
        </a:p>
      </xdr:txBody>
    </xdr:sp>
    <xdr:clientData/>
  </xdr:twoCellAnchor>
  <xdr:twoCellAnchor editAs="oneCell">
    <xdr:from>
      <xdr:col>22</xdr:col>
      <xdr:colOff>114300</xdr:colOff>
      <xdr:row>38</xdr:row>
      <xdr:rowOff>136191</xdr:rowOff>
    </xdr:from>
    <xdr:to>
      <xdr:col>28</xdr:col>
      <xdr:colOff>38100</xdr:colOff>
      <xdr:row>58</xdr:row>
      <xdr:rowOff>64769</xdr:rowOff>
    </xdr:to>
    <xdr:pic>
      <xdr:nvPicPr>
        <xdr:cNvPr id="12" name="Picture 11" descr="Budget - Free business icons">
          <a:hlinkClick xmlns:r="http://schemas.openxmlformats.org/officeDocument/2006/relationships" r:id="rId2"/>
          <a:extLst>
            <a:ext uri="{FF2B5EF4-FFF2-40B4-BE49-F238E27FC236}">
              <a16:creationId xmlns:a16="http://schemas.microsoft.com/office/drawing/2014/main" id="{DE29171A-58FE-4434-8878-C547D1501A0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736800" y="7660941"/>
          <a:ext cx="3581400" cy="37385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49</xdr:col>
      <xdr:colOff>344466</xdr:colOff>
      <xdr:row>10</xdr:row>
      <xdr:rowOff>27140</xdr:rowOff>
    </xdr:from>
    <xdr:to>
      <xdr:col>52</xdr:col>
      <xdr:colOff>260959</xdr:colOff>
      <xdr:row>24</xdr:row>
      <xdr:rowOff>139874</xdr:rowOff>
    </xdr:to>
    <xdr:graphicFrame macro="">
      <xdr:nvGraphicFramePr>
        <xdr:cNvPr id="4" name="Chart 3">
          <a:extLst>
            <a:ext uri="{FF2B5EF4-FFF2-40B4-BE49-F238E27FC236}">
              <a16:creationId xmlns:a16="http://schemas.microsoft.com/office/drawing/2014/main" id="{3FD82C5D-380F-4278-8750-99A21854D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427643</xdr:colOff>
      <xdr:row>1</xdr:row>
      <xdr:rowOff>161636</xdr:rowOff>
    </xdr:from>
    <xdr:to>
      <xdr:col>15</xdr:col>
      <xdr:colOff>184727</xdr:colOff>
      <xdr:row>36</xdr:row>
      <xdr:rowOff>115916</xdr:rowOff>
    </xdr:to>
    <xdr:graphicFrame macro="">
      <xdr:nvGraphicFramePr>
        <xdr:cNvPr id="3" name="Chart 2">
          <a:extLst>
            <a:ext uri="{FF2B5EF4-FFF2-40B4-BE49-F238E27FC236}">
              <a16:creationId xmlns:a16="http://schemas.microsoft.com/office/drawing/2014/main" id="{16B87CDB-D2E7-482A-9F14-CC81C897D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369454</xdr:colOff>
      <xdr:row>2</xdr:row>
      <xdr:rowOff>92363</xdr:rowOff>
    </xdr:from>
    <xdr:to>
      <xdr:col>27</xdr:col>
      <xdr:colOff>531091</xdr:colOff>
      <xdr:row>32</xdr:row>
      <xdr:rowOff>103909</xdr:rowOff>
    </xdr:to>
    <xdr:sp macro="" textlink="">
      <xdr:nvSpPr>
        <xdr:cNvPr id="7" name="Rectangle: Rounded Corners 6">
          <a:extLst>
            <a:ext uri="{FF2B5EF4-FFF2-40B4-BE49-F238E27FC236}">
              <a16:creationId xmlns:a16="http://schemas.microsoft.com/office/drawing/2014/main" id="{A01E7DEC-C7A2-4D90-A611-E00814ADFD6D}"/>
            </a:ext>
          </a:extLst>
        </xdr:cNvPr>
        <xdr:cNvSpPr/>
      </xdr:nvSpPr>
      <xdr:spPr>
        <a:xfrm>
          <a:off x="12088090" y="461818"/>
          <a:ext cx="7504546" cy="5553364"/>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80819</xdr:colOff>
      <xdr:row>4</xdr:row>
      <xdr:rowOff>103909</xdr:rowOff>
    </xdr:from>
    <xdr:to>
      <xdr:col>27</xdr:col>
      <xdr:colOff>184728</xdr:colOff>
      <xdr:row>30</xdr:row>
      <xdr:rowOff>0</xdr:rowOff>
    </xdr:to>
    <xdr:sp macro="" textlink="">
      <xdr:nvSpPr>
        <xdr:cNvPr id="8" name="TextBox 7">
          <a:extLst>
            <a:ext uri="{FF2B5EF4-FFF2-40B4-BE49-F238E27FC236}">
              <a16:creationId xmlns:a16="http://schemas.microsoft.com/office/drawing/2014/main" id="{3B191757-C368-4BEB-991B-709BE66756EC}"/>
            </a:ext>
          </a:extLst>
        </xdr:cNvPr>
        <xdr:cNvSpPr txBox="1"/>
      </xdr:nvSpPr>
      <xdr:spPr>
        <a:xfrm>
          <a:off x="12405341" y="832779"/>
          <a:ext cx="6845952" cy="4633743"/>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IN" sz="1800">
              <a:solidFill>
                <a:srgbClr val="002060"/>
              </a:solidFill>
            </a:rPr>
            <a:t>• Capital surplus is higher than revenue deficit in every year.</a:t>
          </a:r>
        </a:p>
        <a:p>
          <a:endParaRPr lang="en-IN" sz="1800">
            <a:solidFill>
              <a:srgbClr val="002060"/>
            </a:solidFill>
          </a:endParaRPr>
        </a:p>
        <a:p>
          <a:r>
            <a:rPr lang="en-IN" sz="1800">
              <a:solidFill>
                <a:srgbClr val="002060"/>
              </a:solidFill>
            </a:rPr>
            <a:t>• 2013–16 shows relatively low deficit and surplus levels.</a:t>
          </a:r>
        </a:p>
        <a:p>
          <a:endParaRPr lang="en-IN" sz="1800">
            <a:solidFill>
              <a:srgbClr val="002060"/>
            </a:solidFill>
          </a:endParaRPr>
        </a:p>
        <a:p>
          <a:r>
            <a:rPr lang="en-IN" sz="1800">
              <a:solidFill>
                <a:srgbClr val="002060"/>
              </a:solidFill>
            </a:rPr>
            <a:t>• 2016–17 records the lowest capital surplus.</a:t>
          </a:r>
        </a:p>
        <a:p>
          <a:endParaRPr lang="en-IN" sz="1800">
            <a:solidFill>
              <a:srgbClr val="002060"/>
            </a:solidFill>
          </a:endParaRPr>
        </a:p>
        <a:p>
          <a:r>
            <a:rPr lang="en-IN" sz="1800">
              <a:solidFill>
                <a:srgbClr val="002060"/>
              </a:solidFill>
            </a:rPr>
            <a:t>• 2020–21 shows the highest deficit and surplus due to COVID-19.</a:t>
          </a:r>
        </a:p>
        <a:p>
          <a:endParaRPr lang="en-IN" sz="1800">
            <a:solidFill>
              <a:srgbClr val="002060"/>
            </a:solidFill>
          </a:endParaRPr>
        </a:p>
        <a:p>
          <a:r>
            <a:rPr lang="en-IN" sz="1800">
              <a:solidFill>
                <a:srgbClr val="002060"/>
              </a:solidFill>
            </a:rPr>
            <a:t>• Revenue deficit increases significantly after 2021.</a:t>
          </a:r>
        </a:p>
        <a:p>
          <a:endParaRPr lang="en-IN" sz="1800">
            <a:solidFill>
              <a:srgbClr val="002060"/>
            </a:solidFill>
          </a:endParaRPr>
        </a:p>
        <a:p>
          <a:r>
            <a:rPr lang="en-IN" sz="1800">
              <a:solidFill>
                <a:srgbClr val="002060"/>
              </a:solidFill>
            </a:rPr>
            <a:t>• Capital surplus also rises after 2021 to support higher spending.</a:t>
          </a:r>
        </a:p>
        <a:p>
          <a:endParaRPr lang="en-IN" sz="1800">
            <a:solidFill>
              <a:srgbClr val="002060"/>
            </a:solidFill>
          </a:endParaRPr>
        </a:p>
        <a:p>
          <a:r>
            <a:rPr lang="en-IN" sz="1800">
              <a:solidFill>
                <a:srgbClr val="002060"/>
              </a:solidFill>
            </a:rPr>
            <a:t>• RE 2024–25 and BE 2025–26 show lower levels compared to the pandemic peak.</a:t>
          </a:r>
        </a:p>
        <a:p>
          <a:endParaRPr lang="en-IN" sz="1800">
            <a:solidFill>
              <a:srgbClr val="002060"/>
            </a:solidFill>
          </a:endParaRPr>
        </a:p>
        <a:p>
          <a:r>
            <a:rPr lang="en-IN" sz="1800">
              <a:solidFill>
                <a:srgbClr val="002060"/>
              </a:solidFill>
            </a:rPr>
            <a:t>• Overall, the fiscal position improves gradually after 2020–21.</a:t>
          </a:r>
        </a:p>
        <a:p>
          <a:endParaRPr lang="en-IN" sz="1100"/>
        </a:p>
      </xdr:txBody>
    </xdr:sp>
    <xdr:clientData/>
  </xdr:twoCellAnchor>
  <xdr:twoCellAnchor editAs="oneCell">
    <xdr:from>
      <xdr:col>25</xdr:col>
      <xdr:colOff>354560</xdr:colOff>
      <xdr:row>24</xdr:row>
      <xdr:rowOff>82828</xdr:rowOff>
    </xdr:from>
    <xdr:to>
      <xdr:col>29</xdr:col>
      <xdr:colOff>198784</xdr:colOff>
      <xdr:row>36</xdr:row>
      <xdr:rowOff>171618</xdr:rowOff>
    </xdr:to>
    <xdr:pic>
      <xdr:nvPicPr>
        <xdr:cNvPr id="13" name="Picture 12" descr="Budget - Free business and finance icons">
          <a:hlinkClick xmlns:r="http://schemas.openxmlformats.org/officeDocument/2006/relationships" r:id="rId2"/>
          <a:extLst>
            <a:ext uri="{FF2B5EF4-FFF2-40B4-BE49-F238E27FC236}">
              <a16:creationId xmlns:a16="http://schemas.microsoft.com/office/drawing/2014/main" id="{D20CBA20-E5CF-411D-B53E-40BABA9707D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195299" y="4456045"/>
          <a:ext cx="2295876" cy="2275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218912</xdr:colOff>
      <xdr:row>15</xdr:row>
      <xdr:rowOff>159826</xdr:rowOff>
    </xdr:from>
    <xdr:to>
      <xdr:col>8</xdr:col>
      <xdr:colOff>1206500</xdr:colOff>
      <xdr:row>52</xdr:row>
      <xdr:rowOff>142068</xdr:rowOff>
    </xdr:to>
    <xdr:graphicFrame macro="">
      <xdr:nvGraphicFramePr>
        <xdr:cNvPr id="3" name="Chart 2">
          <a:extLst>
            <a:ext uri="{FF2B5EF4-FFF2-40B4-BE49-F238E27FC236}">
              <a16:creationId xmlns:a16="http://schemas.microsoft.com/office/drawing/2014/main" id="{B1423426-B637-45F3-90F4-AE6AFF5E1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244928</xdr:colOff>
      <xdr:row>15</xdr:row>
      <xdr:rowOff>136072</xdr:rowOff>
    </xdr:from>
    <xdr:to>
      <xdr:col>13</xdr:col>
      <xdr:colOff>40308</xdr:colOff>
      <xdr:row>47</xdr:row>
      <xdr:rowOff>103723</xdr:rowOff>
    </xdr:to>
    <xdr:sp macro="" textlink="">
      <xdr:nvSpPr>
        <xdr:cNvPr id="18" name="Rectangle: Rounded Corners 17">
          <a:extLst>
            <a:ext uri="{FF2B5EF4-FFF2-40B4-BE49-F238E27FC236}">
              <a16:creationId xmlns:a16="http://schemas.microsoft.com/office/drawing/2014/main" id="{1C8129E5-A3F0-44CD-A4FF-DB46782F60DC}"/>
            </a:ext>
          </a:extLst>
        </xdr:cNvPr>
        <xdr:cNvSpPr/>
      </xdr:nvSpPr>
      <xdr:spPr>
        <a:xfrm>
          <a:off x="15634607" y="2789465"/>
          <a:ext cx="7850808" cy="562822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734784</xdr:colOff>
      <xdr:row>18</xdr:row>
      <xdr:rowOff>54429</xdr:rowOff>
    </xdr:from>
    <xdr:to>
      <xdr:col>12</xdr:col>
      <xdr:colOff>1891392</xdr:colOff>
      <xdr:row>44</xdr:row>
      <xdr:rowOff>90116</xdr:rowOff>
    </xdr:to>
    <xdr:sp macro="" textlink="">
      <xdr:nvSpPr>
        <xdr:cNvPr id="20" name="TextBox 19">
          <a:extLst>
            <a:ext uri="{FF2B5EF4-FFF2-40B4-BE49-F238E27FC236}">
              <a16:creationId xmlns:a16="http://schemas.microsoft.com/office/drawing/2014/main" id="{2F8A488A-E102-407E-8EF6-C407EB5A8600}"/>
            </a:ext>
          </a:extLst>
        </xdr:cNvPr>
        <xdr:cNvSpPr txBox="1"/>
      </xdr:nvSpPr>
      <xdr:spPr>
        <a:xfrm>
          <a:off x="16124463" y="3238500"/>
          <a:ext cx="6789965" cy="4634902"/>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IN" sz="1600" b="1">
              <a:solidFill>
                <a:srgbClr val="7030A0"/>
              </a:solidFill>
            </a:rPr>
            <a:t>• Corporation Tax and Income Tax were the main tax sources before 2017.</a:t>
          </a:r>
        </a:p>
        <a:p>
          <a:endParaRPr lang="en-IN" sz="1600" b="1">
            <a:solidFill>
              <a:srgbClr val="7030A0"/>
            </a:solidFill>
          </a:endParaRPr>
        </a:p>
        <a:p>
          <a:r>
            <a:rPr lang="en-IN" sz="1600" b="1">
              <a:solidFill>
                <a:srgbClr val="7030A0"/>
              </a:solidFill>
            </a:rPr>
            <a:t>• GST was introduced in 2017–18, changing the tax structure significantly.</a:t>
          </a:r>
        </a:p>
        <a:p>
          <a:endParaRPr lang="en-IN" sz="1600" b="1">
            <a:solidFill>
              <a:srgbClr val="7030A0"/>
            </a:solidFill>
          </a:endParaRPr>
        </a:p>
        <a:p>
          <a:r>
            <a:rPr lang="en-IN" sz="1600" b="1">
              <a:solidFill>
                <a:srgbClr val="7030A0"/>
              </a:solidFill>
            </a:rPr>
            <a:t>• Service Tax disappeared after GST was implemented.</a:t>
          </a:r>
        </a:p>
        <a:p>
          <a:endParaRPr lang="en-IN" sz="1600" b="1">
            <a:solidFill>
              <a:srgbClr val="7030A0"/>
            </a:solidFill>
          </a:endParaRPr>
        </a:p>
        <a:p>
          <a:r>
            <a:rPr lang="en-IN" sz="1600" b="1">
              <a:solidFill>
                <a:srgbClr val="7030A0"/>
              </a:solidFill>
            </a:rPr>
            <a:t>• Union Excise Duties declined sharply after GST.</a:t>
          </a:r>
        </a:p>
        <a:p>
          <a:endParaRPr lang="en-IN" sz="1600" b="1">
            <a:solidFill>
              <a:srgbClr val="7030A0"/>
            </a:solidFill>
          </a:endParaRPr>
        </a:p>
        <a:p>
          <a:r>
            <a:rPr lang="en-IN" sz="1600" b="1">
              <a:solidFill>
                <a:srgbClr val="7030A0"/>
              </a:solidFill>
            </a:rPr>
            <a:t>• IGST became a major and stable source of tax revenue after 2018.</a:t>
          </a:r>
        </a:p>
        <a:p>
          <a:endParaRPr lang="en-IN" sz="1600" b="1">
            <a:solidFill>
              <a:srgbClr val="7030A0"/>
            </a:solidFill>
          </a:endParaRPr>
        </a:p>
        <a:p>
          <a:r>
            <a:rPr lang="en-IN" sz="1600" b="1">
              <a:solidFill>
                <a:srgbClr val="7030A0"/>
              </a:solidFill>
            </a:rPr>
            <a:t>• Income Tax collections have grown steadily over the years.</a:t>
          </a:r>
        </a:p>
        <a:p>
          <a:endParaRPr lang="en-IN" sz="1600" b="1">
            <a:solidFill>
              <a:srgbClr val="7030A0"/>
            </a:solidFill>
          </a:endParaRPr>
        </a:p>
        <a:p>
          <a:r>
            <a:rPr lang="en-IN" sz="1600" b="1">
              <a:solidFill>
                <a:srgbClr val="7030A0"/>
              </a:solidFill>
            </a:rPr>
            <a:t>• Corporation Tax's share has reduced since 2019.</a:t>
          </a:r>
        </a:p>
        <a:p>
          <a:endParaRPr lang="en-IN" sz="1600" b="1">
            <a:solidFill>
              <a:srgbClr val="7030A0"/>
            </a:solidFill>
          </a:endParaRPr>
        </a:p>
        <a:p>
          <a:r>
            <a:rPr lang="en-IN" sz="1600" b="1">
              <a:solidFill>
                <a:srgbClr val="7030A0"/>
              </a:solidFill>
            </a:rPr>
            <a:t>• GST Compensation Cess was introduced after GST and gradually declined.</a:t>
          </a:r>
        </a:p>
        <a:p>
          <a:endParaRPr lang="en-IN" sz="1600" b="1">
            <a:solidFill>
              <a:srgbClr val="7030A0"/>
            </a:solidFill>
          </a:endParaRPr>
        </a:p>
        <a:p>
          <a:r>
            <a:rPr lang="en-IN" sz="1600" b="1">
              <a:solidFill>
                <a:srgbClr val="7030A0"/>
              </a:solidFill>
            </a:rPr>
            <a:t>• 2017–18 marks the biggest change in India's tax revenue structure.</a:t>
          </a:r>
        </a:p>
        <a:p>
          <a:endParaRPr lang="en-IN" sz="1100"/>
        </a:p>
      </xdr:txBody>
    </xdr:sp>
    <xdr:clientData/>
  </xdr:twoCellAnchor>
  <xdr:twoCellAnchor editAs="oneCell">
    <xdr:from>
      <xdr:col>12</xdr:col>
      <xdr:colOff>952499</xdr:colOff>
      <xdr:row>40</xdr:row>
      <xdr:rowOff>108858</xdr:rowOff>
    </xdr:from>
    <xdr:to>
      <xdr:col>13</xdr:col>
      <xdr:colOff>876299</xdr:colOff>
      <xdr:row>53</xdr:row>
      <xdr:rowOff>155123</xdr:rowOff>
    </xdr:to>
    <xdr:pic>
      <xdr:nvPicPr>
        <xdr:cNvPr id="22" name="Picture 21">
          <a:hlinkClick xmlns:r="http://schemas.openxmlformats.org/officeDocument/2006/relationships" r:id="rId2"/>
          <a:extLst>
            <a:ext uri="{FF2B5EF4-FFF2-40B4-BE49-F238E27FC236}">
              <a16:creationId xmlns:a16="http://schemas.microsoft.com/office/drawing/2014/main" id="{2E10B7E1-E033-4CA2-AD7A-5FA4D4FABFB9}"/>
            </a:ext>
          </a:extLst>
        </xdr:cNvPr>
        <xdr:cNvPicPr>
          <a:picLocks noChangeAspect="1"/>
        </xdr:cNvPicPr>
      </xdr:nvPicPr>
      <xdr:blipFill>
        <a:blip xmlns:r="http://schemas.openxmlformats.org/officeDocument/2006/relationships" r:embed="rId3"/>
        <a:stretch>
          <a:fillRect/>
        </a:stretch>
      </xdr:blipFill>
      <xdr:spPr>
        <a:xfrm>
          <a:off x="21975535" y="7184572"/>
          <a:ext cx="2345872" cy="234587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137808</xdr:colOff>
      <xdr:row>16</xdr:row>
      <xdr:rowOff>16212</xdr:rowOff>
    </xdr:from>
    <xdr:to>
      <xdr:col>6</xdr:col>
      <xdr:colOff>728133</xdr:colOff>
      <xdr:row>42</xdr:row>
      <xdr:rowOff>67733</xdr:rowOff>
    </xdr:to>
    <xdr:graphicFrame macro="">
      <xdr:nvGraphicFramePr>
        <xdr:cNvPr id="2" name="Chart 1">
          <a:extLst>
            <a:ext uri="{FF2B5EF4-FFF2-40B4-BE49-F238E27FC236}">
              <a16:creationId xmlns:a16="http://schemas.microsoft.com/office/drawing/2014/main" id="{B67039C1-63C2-4ED2-8A0E-BD4D4BEF4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180919</xdr:colOff>
      <xdr:row>0</xdr:row>
      <xdr:rowOff>50800</xdr:rowOff>
    </xdr:from>
    <xdr:to>
      <xdr:col>14</xdr:col>
      <xdr:colOff>491066</xdr:colOff>
      <xdr:row>26</xdr:row>
      <xdr:rowOff>84667</xdr:rowOff>
    </xdr:to>
    <xdr:sp macro="" textlink="">
      <xdr:nvSpPr>
        <xdr:cNvPr id="3" name="Rectangle: Rounded Corners 2">
          <a:extLst>
            <a:ext uri="{FF2B5EF4-FFF2-40B4-BE49-F238E27FC236}">
              <a16:creationId xmlns:a16="http://schemas.microsoft.com/office/drawing/2014/main" id="{C760FA0A-7D35-4B59-B42A-5ADDD0A29D0B}"/>
            </a:ext>
          </a:extLst>
        </xdr:cNvPr>
        <xdr:cNvSpPr/>
      </xdr:nvSpPr>
      <xdr:spPr>
        <a:xfrm>
          <a:off x="7665452" y="50800"/>
          <a:ext cx="7642281" cy="487680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653270</xdr:colOff>
      <xdr:row>1</xdr:row>
      <xdr:rowOff>163540</xdr:rowOff>
    </xdr:from>
    <xdr:to>
      <xdr:col>13</xdr:col>
      <xdr:colOff>1134533</xdr:colOff>
      <xdr:row>24</xdr:row>
      <xdr:rowOff>67733</xdr:rowOff>
    </xdr:to>
    <xdr:sp macro="" textlink="">
      <xdr:nvSpPr>
        <xdr:cNvPr id="4" name="TextBox 3">
          <a:extLst>
            <a:ext uri="{FF2B5EF4-FFF2-40B4-BE49-F238E27FC236}">
              <a16:creationId xmlns:a16="http://schemas.microsoft.com/office/drawing/2014/main" id="{4B04CBD6-61E2-466A-AFDF-A50A73C81EAF}"/>
            </a:ext>
          </a:extLst>
        </xdr:cNvPr>
        <xdr:cNvSpPr txBox="1"/>
      </xdr:nvSpPr>
      <xdr:spPr>
        <a:xfrm>
          <a:off x="8137803" y="349807"/>
          <a:ext cx="6644997" cy="4188326"/>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endParaRPr lang="en-IN" sz="1600" b="1">
            <a:solidFill>
              <a:srgbClr val="7030A0"/>
            </a:solidFill>
          </a:endParaRPr>
        </a:p>
        <a:p>
          <a:r>
            <a:rPr lang="en-IN" sz="1600"/>
            <a:t>• Defence spending has increased significantly over the last 13 years.</a:t>
          </a:r>
        </a:p>
        <a:p>
          <a:endParaRPr lang="en-IN" sz="1600"/>
        </a:p>
        <a:p>
          <a:r>
            <a:rPr lang="en-IN" sz="1600"/>
            <a:t>• The Army receives the largest share of the defence budget every year.</a:t>
          </a:r>
        </a:p>
        <a:p>
          <a:endParaRPr lang="en-IN" sz="1600"/>
        </a:p>
        <a:p>
          <a:r>
            <a:rPr lang="en-IN" sz="1600"/>
            <a:t>• Capital Defence spending has grown notably after 2020.</a:t>
          </a:r>
        </a:p>
        <a:p>
          <a:endParaRPr lang="en-IN" sz="1600"/>
        </a:p>
        <a:p>
          <a:r>
            <a:rPr lang="en-IN" sz="1600"/>
            <a:t>• The Air Force share has remained relatively stable over time.</a:t>
          </a:r>
        </a:p>
        <a:p>
          <a:endParaRPr lang="en-IN" sz="1600"/>
        </a:p>
        <a:p>
          <a:r>
            <a:rPr lang="en-IN" sz="1600"/>
            <a:t>• The Navy receives the smallest share of the defence budget.</a:t>
          </a:r>
        </a:p>
        <a:p>
          <a:endParaRPr lang="en-IN" sz="1600"/>
        </a:p>
        <a:p>
          <a:r>
            <a:rPr lang="en-IN" sz="1600"/>
            <a:t>• Defence R&amp;D forms a small portion of total spending.</a:t>
          </a:r>
        </a:p>
        <a:p>
          <a:endParaRPr lang="en-IN" sz="1600"/>
        </a:p>
        <a:p>
          <a:r>
            <a:rPr lang="en-IN" sz="1600"/>
            <a:t>• Defence expenditure has increased faster since 2022.</a:t>
          </a:r>
        </a:p>
        <a:p>
          <a:endParaRPr lang="en-IN" sz="1600"/>
        </a:p>
        <a:p>
          <a:r>
            <a:rPr lang="en-IN" sz="1600"/>
            <a:t>• BE 2025–26 shows the highest defence budget on record.</a:t>
          </a:r>
        </a:p>
        <a:p>
          <a:endParaRPr lang="en-IN" sz="1100"/>
        </a:p>
      </xdr:txBody>
    </xdr:sp>
    <xdr:clientData/>
  </xdr:twoCellAnchor>
  <xdr:twoCellAnchor editAs="oneCell">
    <xdr:from>
      <xdr:col>13</xdr:col>
      <xdr:colOff>42145</xdr:colOff>
      <xdr:row>21</xdr:row>
      <xdr:rowOff>0</xdr:rowOff>
    </xdr:from>
    <xdr:to>
      <xdr:col>15</xdr:col>
      <xdr:colOff>544233</xdr:colOff>
      <xdr:row>34</xdr:row>
      <xdr:rowOff>33866</xdr:rowOff>
    </xdr:to>
    <xdr:pic>
      <xdr:nvPicPr>
        <xdr:cNvPr id="6" name="Picture 5" descr="Budget - Free icons">
          <a:hlinkClick xmlns:r="http://schemas.openxmlformats.org/officeDocument/2006/relationships" r:id="rId2"/>
          <a:extLst>
            <a:ext uri="{FF2B5EF4-FFF2-40B4-BE49-F238E27FC236}">
              <a16:creationId xmlns:a16="http://schemas.microsoft.com/office/drawing/2014/main" id="{5B118285-A480-41F2-842C-ED19F645F7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90412" y="3911600"/>
          <a:ext cx="2415555" cy="2455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377352</xdr:colOff>
      <xdr:row>21</xdr:row>
      <xdr:rowOff>155510</xdr:rowOff>
    </xdr:from>
    <xdr:to>
      <xdr:col>6</xdr:col>
      <xdr:colOff>575389</xdr:colOff>
      <xdr:row>55</xdr:row>
      <xdr:rowOff>19146</xdr:rowOff>
    </xdr:to>
    <xdr:graphicFrame macro="">
      <xdr:nvGraphicFramePr>
        <xdr:cNvPr id="2" name="Chart 1">
          <a:extLst>
            <a:ext uri="{FF2B5EF4-FFF2-40B4-BE49-F238E27FC236}">
              <a16:creationId xmlns:a16="http://schemas.microsoft.com/office/drawing/2014/main" id="{C05DB4DB-1BBC-4B35-8270-03A811BBB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423334</xdr:colOff>
      <xdr:row>3</xdr:row>
      <xdr:rowOff>50800</xdr:rowOff>
    </xdr:from>
    <xdr:to>
      <xdr:col>16</xdr:col>
      <xdr:colOff>565573</xdr:colOff>
      <xdr:row>39</xdr:row>
      <xdr:rowOff>64348</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194367C-3D0E-4547-A8F1-05C88E7F62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206134" y="599440"/>
              <a:ext cx="9903459" cy="65972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965200</xdr:colOff>
      <xdr:row>10</xdr:row>
      <xdr:rowOff>0</xdr:rowOff>
    </xdr:from>
    <xdr:to>
      <xdr:col>23</xdr:col>
      <xdr:colOff>185468</xdr:colOff>
      <xdr:row>37</xdr:row>
      <xdr:rowOff>157671</xdr:rowOff>
    </xdr:to>
    <xdr:sp macro="" textlink="">
      <xdr:nvSpPr>
        <xdr:cNvPr id="5" name="Rectangle: Rounded Corners 4">
          <a:extLst>
            <a:ext uri="{FF2B5EF4-FFF2-40B4-BE49-F238E27FC236}">
              <a16:creationId xmlns:a16="http://schemas.microsoft.com/office/drawing/2014/main" id="{BDB755EB-13F5-42F4-9CC4-A8CD7D886433}"/>
            </a:ext>
          </a:extLst>
        </xdr:cNvPr>
        <xdr:cNvSpPr/>
      </xdr:nvSpPr>
      <xdr:spPr>
        <a:xfrm>
          <a:off x="25450800" y="1778000"/>
          <a:ext cx="6916468" cy="4958271"/>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355601</xdr:colOff>
      <xdr:row>41</xdr:row>
      <xdr:rowOff>127000</xdr:rowOff>
    </xdr:from>
    <xdr:to>
      <xdr:col>10</xdr:col>
      <xdr:colOff>851066</xdr:colOff>
      <xdr:row>65</xdr:row>
      <xdr:rowOff>79168</xdr:rowOff>
    </xdr:to>
    <xdr:sp macro="" textlink="">
      <xdr:nvSpPr>
        <xdr:cNvPr id="6" name="Rectangle: Rounded Corners 5">
          <a:extLst>
            <a:ext uri="{FF2B5EF4-FFF2-40B4-BE49-F238E27FC236}">
              <a16:creationId xmlns:a16="http://schemas.microsoft.com/office/drawing/2014/main" id="{D5C31068-4F86-473A-B97D-D2F2CC0AC08D}"/>
            </a:ext>
          </a:extLst>
        </xdr:cNvPr>
        <xdr:cNvSpPr/>
      </xdr:nvSpPr>
      <xdr:spPr>
        <a:xfrm>
          <a:off x="9489705" y="7430325"/>
          <a:ext cx="7452426" cy="4227285"/>
        </a:xfrm>
        <a:prstGeom prst="round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787400</xdr:colOff>
      <xdr:row>43</xdr:row>
      <xdr:rowOff>0</xdr:rowOff>
    </xdr:from>
    <xdr:to>
      <xdr:col>10</xdr:col>
      <xdr:colOff>472797</xdr:colOff>
      <xdr:row>63</xdr:row>
      <xdr:rowOff>148441</xdr:rowOff>
    </xdr:to>
    <xdr:sp macro="" textlink="">
      <xdr:nvSpPr>
        <xdr:cNvPr id="8" name="TextBox 7">
          <a:extLst>
            <a:ext uri="{FF2B5EF4-FFF2-40B4-BE49-F238E27FC236}">
              <a16:creationId xmlns:a16="http://schemas.microsoft.com/office/drawing/2014/main" id="{FA877CF8-89AB-492D-BA2A-0CB02984D021}"/>
            </a:ext>
          </a:extLst>
        </xdr:cNvPr>
        <xdr:cNvSpPr txBox="1"/>
      </xdr:nvSpPr>
      <xdr:spPr>
        <a:xfrm>
          <a:off x="9921504" y="7659584"/>
          <a:ext cx="6642358" cy="3711039"/>
        </a:xfrm>
        <a:prstGeom prst="rect">
          <a:avLst/>
        </a:prstGeom>
        <a:solidFill>
          <a:schemeClr val="accent4">
            <a:lumMod val="20000"/>
            <a:lumOff val="8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endParaRPr lang="en-IN" sz="1600" b="1">
            <a:solidFill>
              <a:srgbClr val="7030A0"/>
            </a:solidFill>
          </a:endParaRPr>
        </a:p>
        <a:p>
          <a:r>
            <a:rPr lang="en-IN" sz="1600"/>
            <a:t>• Capital expenditure remained almost unchanged from 2013 to 2020.</a:t>
          </a:r>
        </a:p>
        <a:p>
          <a:endParaRPr lang="en-IN" sz="1600"/>
        </a:p>
        <a:p>
          <a:r>
            <a:rPr lang="en-IN" sz="1600"/>
            <a:t>• Capital spending increased sharply after 2021.</a:t>
          </a:r>
        </a:p>
        <a:p>
          <a:endParaRPr lang="en-IN" sz="1600"/>
        </a:p>
        <a:p>
          <a:r>
            <a:rPr lang="en-IN" sz="1600"/>
            <a:t>• Economic Services account for most of the growth in capital expenditure.</a:t>
          </a:r>
        </a:p>
        <a:p>
          <a:endParaRPr lang="en-IN" sz="1600"/>
        </a:p>
        <a:p>
          <a:r>
            <a:rPr lang="en-IN" sz="1600"/>
            <a:t>• General Services show gradual growth over the years.</a:t>
          </a:r>
        </a:p>
        <a:p>
          <a:endParaRPr lang="en-IN" sz="1600"/>
        </a:p>
        <a:p>
          <a:r>
            <a:rPr lang="en-IN" sz="1600"/>
            <a:t>• Social Services receive a relatively small share of capital spending.</a:t>
          </a:r>
        </a:p>
        <a:p>
          <a:endParaRPr lang="en-IN" sz="1600"/>
        </a:p>
        <a:p>
          <a:r>
            <a:rPr lang="en-IN" sz="1600"/>
            <a:t>• A slight slowdown is visible around 2019–20 and 2020–21.</a:t>
          </a:r>
        </a:p>
        <a:p>
          <a:endParaRPr lang="en-IN" sz="1600"/>
        </a:p>
        <a:p>
          <a:r>
            <a:rPr lang="en-IN" sz="1600"/>
            <a:t>• BE 2025–26 records the highest capital expenditure.</a:t>
          </a:r>
        </a:p>
        <a:p>
          <a:endParaRPr lang="en-IN" sz="1100"/>
        </a:p>
      </xdr:txBody>
    </xdr:sp>
    <xdr:clientData/>
  </xdr:twoCellAnchor>
  <xdr:twoCellAnchor>
    <xdr:from>
      <xdr:col>17</xdr:col>
      <xdr:colOff>50800</xdr:colOff>
      <xdr:row>12</xdr:row>
      <xdr:rowOff>50800</xdr:rowOff>
    </xdr:from>
    <xdr:to>
      <xdr:col>22</xdr:col>
      <xdr:colOff>371197</xdr:colOff>
      <xdr:row>35</xdr:row>
      <xdr:rowOff>149726</xdr:rowOff>
    </xdr:to>
    <xdr:sp macro="" textlink="">
      <xdr:nvSpPr>
        <xdr:cNvPr id="9" name="TextBox 8">
          <a:extLst>
            <a:ext uri="{FF2B5EF4-FFF2-40B4-BE49-F238E27FC236}">
              <a16:creationId xmlns:a16="http://schemas.microsoft.com/office/drawing/2014/main" id="{ADC052D1-61BB-4D82-840D-F8CE00CDB713}"/>
            </a:ext>
          </a:extLst>
        </xdr:cNvPr>
        <xdr:cNvSpPr txBox="1"/>
      </xdr:nvSpPr>
      <xdr:spPr>
        <a:xfrm>
          <a:off x="25933400" y="2184400"/>
          <a:ext cx="6009997" cy="4188326"/>
        </a:xfrm>
        <a:prstGeom prst="rect">
          <a:avLst/>
        </a:prstGeom>
        <a:solidFill>
          <a:schemeClr val="accent6">
            <a:lumMod val="40000"/>
            <a:lumOff val="6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endParaRPr lang="en-IN" sz="1600" b="1">
            <a:solidFill>
              <a:srgbClr val="7030A0"/>
            </a:solidFill>
          </a:endParaRPr>
        </a:p>
        <a:p>
          <a:r>
            <a:rPr lang="en-IN" sz="1600"/>
            <a:t>• Roads &amp; Bridges and Railways receive the largest share of infrastructure spending.</a:t>
          </a:r>
        </a:p>
        <a:p>
          <a:endParaRPr lang="en-IN" sz="1600"/>
        </a:p>
        <a:p>
          <a:r>
            <a:rPr lang="en-IN" sz="1600"/>
            <a:t>• Spending on Roads &amp; Bridges is slightly higher than Railways.</a:t>
          </a:r>
        </a:p>
        <a:p>
          <a:endParaRPr lang="en-IN" sz="1600"/>
        </a:p>
        <a:p>
          <a:r>
            <a:rPr lang="en-IN" sz="1600"/>
            <a:t>• Energy, Science, Industry and Civil Aviation receive much smaller allocations.</a:t>
          </a:r>
        </a:p>
        <a:p>
          <a:endParaRPr lang="en-IN" sz="1600"/>
        </a:p>
        <a:p>
          <a:r>
            <a:rPr lang="en-IN" sz="1600"/>
            <a:t>• Civil Aviation accounts for a very small share of the total budget.</a:t>
          </a:r>
        </a:p>
        <a:p>
          <a:endParaRPr lang="en-IN" sz="1600"/>
        </a:p>
        <a:p>
          <a:r>
            <a:rPr lang="en-IN" sz="1600"/>
            <a:t>• Infrastructure spending is mainly concentrated in Roads and Railways.</a:t>
          </a:r>
        </a:p>
        <a:p>
          <a:endParaRPr lang="en-IN" sz="1600"/>
        </a:p>
        <a:p>
          <a:r>
            <a:rPr lang="en-IN" sz="1600"/>
            <a:t>• Budget allocation across infrastructure sectors remains uneven.</a:t>
          </a:r>
        </a:p>
        <a:p>
          <a:endParaRPr lang="en-IN" sz="1600"/>
        </a:p>
      </xdr:txBody>
    </xdr:sp>
    <xdr:clientData/>
  </xdr:twoCellAnchor>
  <xdr:twoCellAnchor editAs="oneCell">
    <xdr:from>
      <xdr:col>9</xdr:col>
      <xdr:colOff>1200150</xdr:colOff>
      <xdr:row>58</xdr:row>
      <xdr:rowOff>171450</xdr:rowOff>
    </xdr:from>
    <xdr:to>
      <xdr:col>11</xdr:col>
      <xdr:colOff>356286</xdr:colOff>
      <xdr:row>69</xdr:row>
      <xdr:rowOff>95250</xdr:rowOff>
    </xdr:to>
    <xdr:pic>
      <xdr:nvPicPr>
        <xdr:cNvPr id="11" name="Picture 10" descr="Budget Good Ware Lineal Color icon | Freepik">
          <a:hlinkClick xmlns:r="http://schemas.openxmlformats.org/officeDocument/2006/relationships" r:id="rId3"/>
          <a:extLst>
            <a:ext uri="{FF2B5EF4-FFF2-40B4-BE49-F238E27FC236}">
              <a16:creationId xmlns:a16="http://schemas.microsoft.com/office/drawing/2014/main" id="{4C45788D-400F-4B8E-A0E8-0D5521C323E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868650" y="11220450"/>
          <a:ext cx="1937436"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152400</xdr:colOff>
      <xdr:row>32</xdr:row>
      <xdr:rowOff>120650</xdr:rowOff>
    </xdr:from>
    <xdr:to>
      <xdr:col>25</xdr:col>
      <xdr:colOff>152400</xdr:colOff>
      <xdr:row>45</xdr:row>
      <xdr:rowOff>82550</xdr:rowOff>
    </xdr:to>
    <xdr:pic>
      <xdr:nvPicPr>
        <xdr:cNvPr id="12" name="Picture 11">
          <a:hlinkClick xmlns:r="http://schemas.openxmlformats.org/officeDocument/2006/relationships" r:id="rId3"/>
          <a:extLst>
            <a:ext uri="{FF2B5EF4-FFF2-40B4-BE49-F238E27FC236}">
              <a16:creationId xmlns:a16="http://schemas.microsoft.com/office/drawing/2014/main" id="{ECFCD240-B5FD-47A5-863E-54F9A1AC19B6}"/>
            </a:ext>
          </a:extLst>
        </xdr:cNvPr>
        <xdr:cNvPicPr>
          <a:picLocks noChangeAspect="1"/>
        </xdr:cNvPicPr>
      </xdr:nvPicPr>
      <xdr:blipFill>
        <a:blip xmlns:r="http://schemas.openxmlformats.org/officeDocument/2006/relationships" r:embed="rId5"/>
        <a:stretch>
          <a:fillRect/>
        </a:stretch>
      </xdr:blipFill>
      <xdr:spPr>
        <a:xfrm>
          <a:off x="31013400" y="6216650"/>
          <a:ext cx="2438400" cy="2438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381000</xdr:colOff>
      <xdr:row>19</xdr:row>
      <xdr:rowOff>110490</xdr:rowOff>
    </xdr:from>
    <xdr:to>
      <xdr:col>6</xdr:col>
      <xdr:colOff>1036320</xdr:colOff>
      <xdr:row>43</xdr:row>
      <xdr:rowOff>7620</xdr:rowOff>
    </xdr:to>
    <xdr:graphicFrame macro="">
      <xdr:nvGraphicFramePr>
        <xdr:cNvPr id="2" name="Chart 1">
          <a:extLst>
            <a:ext uri="{FF2B5EF4-FFF2-40B4-BE49-F238E27FC236}">
              <a16:creationId xmlns:a16="http://schemas.microsoft.com/office/drawing/2014/main" id="{E128DF40-DCB6-4690-9704-BF09003FF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1058996</xdr:colOff>
      <xdr:row>18</xdr:row>
      <xdr:rowOff>119986</xdr:rowOff>
    </xdr:from>
    <xdr:to>
      <xdr:col>19</xdr:col>
      <xdr:colOff>4249</xdr:colOff>
      <xdr:row>42</xdr:row>
      <xdr:rowOff>132340</xdr:rowOff>
    </xdr:to>
    <xdr:graphicFrame macro="">
      <xdr:nvGraphicFramePr>
        <xdr:cNvPr id="3" name="Chart 2">
          <a:extLst>
            <a:ext uri="{FF2B5EF4-FFF2-40B4-BE49-F238E27FC236}">
              <a16:creationId xmlns:a16="http://schemas.microsoft.com/office/drawing/2014/main" id="{3428F592-FABD-4086-A56F-C7AF55467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19</xdr:row>
      <xdr:rowOff>93785</xdr:rowOff>
    </xdr:from>
    <xdr:to>
      <xdr:col>12</xdr:col>
      <xdr:colOff>633046</xdr:colOff>
      <xdr:row>35</xdr:row>
      <xdr:rowOff>133048</xdr:rowOff>
    </xdr:to>
    <xdr:sp macro="" textlink="">
      <xdr:nvSpPr>
        <xdr:cNvPr id="4" name="Rectangle: Rounded Corners 3">
          <a:extLst>
            <a:ext uri="{FF2B5EF4-FFF2-40B4-BE49-F238E27FC236}">
              <a16:creationId xmlns:a16="http://schemas.microsoft.com/office/drawing/2014/main" id="{B07E38C6-0D69-4923-82C5-2D9E0440B7BC}"/>
            </a:ext>
          </a:extLst>
        </xdr:cNvPr>
        <xdr:cNvSpPr/>
      </xdr:nvSpPr>
      <xdr:spPr>
        <a:xfrm>
          <a:off x="8164286" y="4109404"/>
          <a:ext cx="5301808" cy="2942120"/>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19</xdr:col>
      <xdr:colOff>93785</xdr:colOff>
      <xdr:row>18</xdr:row>
      <xdr:rowOff>93784</xdr:rowOff>
    </xdr:from>
    <xdr:to>
      <xdr:col>27</xdr:col>
      <xdr:colOff>492369</xdr:colOff>
      <xdr:row>42</xdr:row>
      <xdr:rowOff>128953</xdr:rowOff>
    </xdr:to>
    <xdr:sp macro="" textlink="">
      <xdr:nvSpPr>
        <xdr:cNvPr id="5" name="Rectangle: Rounded Corners 4">
          <a:extLst>
            <a:ext uri="{FF2B5EF4-FFF2-40B4-BE49-F238E27FC236}">
              <a16:creationId xmlns:a16="http://schemas.microsoft.com/office/drawing/2014/main" id="{063D23AB-714B-4245-9E6D-39E4B076152F}"/>
            </a:ext>
          </a:extLst>
        </xdr:cNvPr>
        <xdr:cNvSpPr/>
      </xdr:nvSpPr>
      <xdr:spPr>
        <a:xfrm>
          <a:off x="22391077" y="4021015"/>
          <a:ext cx="5275384" cy="453683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257909</xdr:colOff>
      <xdr:row>20</xdr:row>
      <xdr:rowOff>164125</xdr:rowOff>
    </xdr:from>
    <xdr:to>
      <xdr:col>12</xdr:col>
      <xdr:colOff>234463</xdr:colOff>
      <xdr:row>34</xdr:row>
      <xdr:rowOff>96763</xdr:rowOff>
    </xdr:to>
    <xdr:sp macro="" textlink="">
      <xdr:nvSpPr>
        <xdr:cNvPr id="6" name="TextBox 5">
          <a:extLst>
            <a:ext uri="{FF2B5EF4-FFF2-40B4-BE49-F238E27FC236}">
              <a16:creationId xmlns:a16="http://schemas.microsoft.com/office/drawing/2014/main" id="{C38E91BB-9207-4891-B56B-39E9A1FA27D6}"/>
            </a:ext>
          </a:extLst>
        </xdr:cNvPr>
        <xdr:cNvSpPr txBox="1"/>
      </xdr:nvSpPr>
      <xdr:spPr>
        <a:xfrm>
          <a:off x="8422195" y="4361173"/>
          <a:ext cx="4645316" cy="2472638"/>
        </a:xfrm>
        <a:prstGeom prst="rect">
          <a:avLst/>
        </a:prstGeom>
        <a:solidFill>
          <a:schemeClr val="accent4">
            <a:lumMod val="20000"/>
            <a:lumOff val="8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200"/>
            <a:t>• Market Loans remain the largest source of government borrowing every year.</a:t>
          </a:r>
        </a:p>
        <a:p>
          <a:endParaRPr lang="en-IN" sz="1200"/>
        </a:p>
        <a:p>
          <a:r>
            <a:rPr lang="en-IN" sz="1200"/>
            <a:t>• 91-Day Treasury Bills are the second-largest borrowing instrument.</a:t>
          </a:r>
        </a:p>
        <a:p>
          <a:endParaRPr lang="en-IN" sz="1200"/>
        </a:p>
        <a:p>
          <a:r>
            <a:rPr lang="en-IN" sz="1200"/>
            <a:t>• External Debt forms a very small share of total borrowing.</a:t>
          </a:r>
        </a:p>
        <a:p>
          <a:endParaRPr lang="en-IN" sz="1200"/>
        </a:p>
        <a:p>
          <a:r>
            <a:rPr lang="en-IN" sz="1200"/>
            <a:t>• 364-Day Treasury Bills have increased since 2019.</a:t>
          </a:r>
        </a:p>
        <a:p>
          <a:endParaRPr lang="en-IN" sz="1200"/>
        </a:p>
        <a:p>
          <a:r>
            <a:rPr lang="en-IN" sz="1200"/>
            <a:t>• 182-Day Treasury Bills remain relatively stable over the years.</a:t>
          </a:r>
        </a:p>
        <a:p>
          <a:endParaRPr lang="en-IN" sz="1200"/>
        </a:p>
        <a:p>
          <a:r>
            <a:rPr lang="en-IN" sz="1200"/>
            <a:t>• The overall borrowing mix has remained largely unchanged.</a:t>
          </a:r>
        </a:p>
        <a:p>
          <a:endParaRPr lang="en-IN" sz="1100"/>
        </a:p>
      </xdr:txBody>
    </xdr:sp>
    <xdr:clientData/>
  </xdr:twoCellAnchor>
  <xdr:twoCellAnchor>
    <xdr:from>
      <xdr:col>19</xdr:col>
      <xdr:colOff>422031</xdr:colOff>
      <xdr:row>19</xdr:row>
      <xdr:rowOff>105507</xdr:rowOff>
    </xdr:from>
    <xdr:to>
      <xdr:col>27</xdr:col>
      <xdr:colOff>175846</xdr:colOff>
      <xdr:row>40</xdr:row>
      <xdr:rowOff>124994</xdr:rowOff>
    </xdr:to>
    <xdr:sp macro="" textlink="">
      <xdr:nvSpPr>
        <xdr:cNvPr id="7" name="TextBox 6">
          <a:extLst>
            <a:ext uri="{FF2B5EF4-FFF2-40B4-BE49-F238E27FC236}">
              <a16:creationId xmlns:a16="http://schemas.microsoft.com/office/drawing/2014/main" id="{F85C2C99-A492-4973-90E2-553EE95ABCB4}"/>
            </a:ext>
          </a:extLst>
        </xdr:cNvPr>
        <xdr:cNvSpPr txBox="1"/>
      </xdr:nvSpPr>
      <xdr:spPr>
        <a:xfrm>
          <a:off x="22719323" y="4220307"/>
          <a:ext cx="4630615" cy="3958441"/>
        </a:xfrm>
        <a:prstGeom prst="rect">
          <a:avLst/>
        </a:prstGeom>
        <a:solidFill>
          <a:schemeClr val="bg2"/>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endParaRPr lang="en-IN" sz="1400" b="1">
            <a:solidFill>
              <a:srgbClr val="7030A0"/>
            </a:solidFill>
          </a:endParaRPr>
        </a:p>
        <a:p>
          <a:r>
            <a:rPr lang="en-IN" sz="1400"/>
            <a:t>• Government borrowing exceeds repayments every year.</a:t>
          </a:r>
        </a:p>
        <a:p>
          <a:endParaRPr lang="en-IN" sz="1400"/>
        </a:p>
        <a:p>
          <a:r>
            <a:rPr lang="en-IN" sz="1400"/>
            <a:t>• Both borrowing and repayment amounts have increased over time.</a:t>
          </a:r>
        </a:p>
        <a:p>
          <a:endParaRPr lang="en-IN" sz="1400"/>
        </a:p>
        <a:p>
          <a:r>
            <a:rPr lang="en-IN" sz="1400"/>
            <a:t>• Net new debt remained relatively stable before 2020.</a:t>
          </a:r>
        </a:p>
        <a:p>
          <a:endParaRPr lang="en-IN" sz="1400"/>
        </a:p>
        <a:p>
          <a:r>
            <a:rPr lang="en-IN" sz="1400"/>
            <a:t>• 2020–21 shows a sharp rise in borrowing due to COVID-19.</a:t>
          </a:r>
        </a:p>
        <a:p>
          <a:endParaRPr lang="en-IN" sz="1400"/>
        </a:p>
        <a:p>
          <a:r>
            <a:rPr lang="en-IN" sz="1400"/>
            <a:t>• Net debt declined after the pandemic peak but remains above pre-COVID levels.</a:t>
          </a:r>
        </a:p>
        <a:p>
          <a:endParaRPr lang="en-IN" sz="1400"/>
        </a:p>
        <a:p>
          <a:r>
            <a:rPr lang="en-IN" sz="1400"/>
            <a:t>• RE 2024–25 shows a slight reduction in net borrowing.</a:t>
          </a:r>
        </a:p>
        <a:p>
          <a:endParaRPr lang="en-IN" sz="1400"/>
        </a:p>
        <a:p>
          <a:r>
            <a:rPr lang="en-IN" sz="1400"/>
            <a:t>• BE 2025–26 indicates borrowing is expected to increase again.</a:t>
          </a:r>
        </a:p>
        <a:p>
          <a:endParaRPr lang="en-IN" sz="1100"/>
        </a:p>
      </xdr:txBody>
    </xdr:sp>
    <xdr:clientData/>
  </xdr:twoCellAnchor>
  <xdr:twoCellAnchor editAs="oneCell">
    <xdr:from>
      <xdr:col>26</xdr:col>
      <xdr:colOff>374405</xdr:colOff>
      <xdr:row>36</xdr:row>
      <xdr:rowOff>115957</xdr:rowOff>
    </xdr:from>
    <xdr:to>
      <xdr:col>29</xdr:col>
      <xdr:colOff>463826</xdr:colOff>
      <xdr:row>47</xdr:row>
      <xdr:rowOff>22528</xdr:rowOff>
    </xdr:to>
    <xdr:pic>
      <xdr:nvPicPr>
        <xdr:cNvPr id="9" name="Picture 8" descr="Savings Basic Accent Lineal Color icon | Freepik">
          <a:hlinkClick xmlns:r="http://schemas.openxmlformats.org/officeDocument/2006/relationships" r:id="rId3"/>
          <a:extLst>
            <a:ext uri="{FF2B5EF4-FFF2-40B4-BE49-F238E27FC236}">
              <a16:creationId xmlns:a16="http://schemas.microsoft.com/office/drawing/2014/main" id="{39BE3820-2062-4DC1-ADFF-64DBEA0422F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7011275" y="7222435"/>
          <a:ext cx="1928160" cy="1910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474388</xdr:colOff>
      <xdr:row>32</xdr:row>
      <xdr:rowOff>165651</xdr:rowOff>
    </xdr:from>
    <xdr:to>
      <xdr:col>12</xdr:col>
      <xdr:colOff>1065142</xdr:colOff>
      <xdr:row>41</xdr:row>
      <xdr:rowOff>88788</xdr:rowOff>
    </xdr:to>
    <xdr:pic>
      <xdr:nvPicPr>
        <xdr:cNvPr id="11" name="Picture 10" descr="Savings Basic Accent Lineal Color icon | Freepik">
          <a:hlinkClick xmlns:r="http://schemas.openxmlformats.org/officeDocument/2006/relationships" r:id="rId3"/>
          <a:extLst>
            <a:ext uri="{FF2B5EF4-FFF2-40B4-BE49-F238E27FC236}">
              <a16:creationId xmlns:a16="http://schemas.microsoft.com/office/drawing/2014/main" id="{5735CF9C-3C41-4BF8-9975-4B9F171965B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368214" y="6543260"/>
          <a:ext cx="1568102" cy="15630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12</xdr:row>
      <xdr:rowOff>167640</xdr:rowOff>
    </xdr:from>
    <xdr:to>
      <xdr:col>7</xdr:col>
      <xdr:colOff>1478280</xdr:colOff>
      <xdr:row>48</xdr:row>
      <xdr:rowOff>128914</xdr:rowOff>
    </xdr:to>
    <xdr:graphicFrame macro="">
      <xdr:nvGraphicFramePr>
        <xdr:cNvPr id="3" name="Chart 2">
          <a:extLst>
            <a:ext uri="{FF2B5EF4-FFF2-40B4-BE49-F238E27FC236}">
              <a16:creationId xmlns:a16="http://schemas.microsoft.com/office/drawing/2014/main" id="{C092B2B2-D6ED-4BD4-B38F-608E548A0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271220</xdr:colOff>
      <xdr:row>12</xdr:row>
      <xdr:rowOff>12914</xdr:rowOff>
    </xdr:from>
    <xdr:to>
      <xdr:col>12</xdr:col>
      <xdr:colOff>503695</xdr:colOff>
      <xdr:row>35</xdr:row>
      <xdr:rowOff>167897</xdr:rowOff>
    </xdr:to>
    <xdr:sp macro="" textlink="">
      <xdr:nvSpPr>
        <xdr:cNvPr id="4" name="Rectangle: Rounded Corners 3">
          <a:extLst>
            <a:ext uri="{FF2B5EF4-FFF2-40B4-BE49-F238E27FC236}">
              <a16:creationId xmlns:a16="http://schemas.microsoft.com/office/drawing/2014/main" id="{CD123E17-F8BE-4BE1-84B9-547E977BA23B}"/>
            </a:ext>
          </a:extLst>
        </xdr:cNvPr>
        <xdr:cNvSpPr/>
      </xdr:nvSpPr>
      <xdr:spPr>
        <a:xfrm>
          <a:off x="13561017" y="2182677"/>
          <a:ext cx="6586780" cy="4313695"/>
        </a:xfrm>
        <a:prstGeom prst="roundRect">
          <a:avLst/>
        </a:prstGeom>
        <a:solidFill>
          <a:srgbClr val="00800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542442</xdr:colOff>
      <xdr:row>13</xdr:row>
      <xdr:rowOff>64578</xdr:rowOff>
    </xdr:from>
    <xdr:to>
      <xdr:col>12</xdr:col>
      <xdr:colOff>129153</xdr:colOff>
      <xdr:row>34</xdr:row>
      <xdr:rowOff>38746</xdr:rowOff>
    </xdr:to>
    <xdr:sp macro="" textlink="">
      <xdr:nvSpPr>
        <xdr:cNvPr id="5" name="TextBox 4">
          <a:extLst>
            <a:ext uri="{FF2B5EF4-FFF2-40B4-BE49-F238E27FC236}">
              <a16:creationId xmlns:a16="http://schemas.microsoft.com/office/drawing/2014/main" id="{AA0DBA3A-1577-472F-8AFB-11301C533800}"/>
            </a:ext>
          </a:extLst>
        </xdr:cNvPr>
        <xdr:cNvSpPr txBox="1"/>
      </xdr:nvSpPr>
      <xdr:spPr>
        <a:xfrm>
          <a:off x="13832239" y="2415154"/>
          <a:ext cx="5941016" cy="3771253"/>
        </a:xfrm>
        <a:prstGeom prst="rect">
          <a:avLst/>
        </a:prstGeom>
        <a:solidFill>
          <a:schemeClr val="accent6">
            <a:lumMod val="60000"/>
            <a:lumOff val="4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endParaRPr lang="en-IN" sz="1600" b="1">
            <a:solidFill>
              <a:srgbClr val="7030A0"/>
            </a:solidFill>
          </a:endParaRPr>
        </a:p>
        <a:p>
          <a:r>
            <a:rPr lang="en-IN" sz="1600"/>
            <a:t>• Overall non-tax revenue composition has changed only moderately over time.</a:t>
          </a:r>
        </a:p>
        <a:p>
          <a:endParaRPr lang="en-IN" sz="1600"/>
        </a:p>
        <a:p>
          <a:r>
            <a:rPr lang="en-IN" sz="1600"/>
            <a:t>• Economic Services contribute the largest share of non-tax revenue.</a:t>
          </a:r>
        </a:p>
        <a:p>
          <a:endParaRPr lang="en-IN" sz="1600"/>
        </a:p>
        <a:p>
          <a:r>
            <a:rPr lang="en-IN" sz="1600"/>
            <a:t>• Dividends show significant growth in 2025–26.</a:t>
          </a:r>
        </a:p>
        <a:p>
          <a:endParaRPr lang="en-IN" sz="1600"/>
        </a:p>
        <a:p>
          <a:r>
            <a:rPr lang="en-IN" sz="1600"/>
            <a:t>• Postal Receipts remain largely unchanged across the years.</a:t>
          </a:r>
        </a:p>
        <a:p>
          <a:endParaRPr lang="en-IN" sz="1600"/>
        </a:p>
        <a:p>
          <a:r>
            <a:rPr lang="en-IN" sz="1600"/>
            <a:t>• Communication Services show a slight decline around 2020–21.</a:t>
          </a:r>
        </a:p>
        <a:p>
          <a:endParaRPr lang="en-IN" sz="1600"/>
        </a:p>
        <a:p>
          <a:r>
            <a:rPr lang="en-IN" sz="1600"/>
            <a:t>• Most growth in non-tax revenue comes from Economic Services and Dividends.</a:t>
          </a:r>
        </a:p>
        <a:p>
          <a:endParaRPr lang="en-IN" sz="1100"/>
        </a:p>
      </xdr:txBody>
    </xdr:sp>
    <xdr:clientData/>
  </xdr:twoCellAnchor>
  <xdr:twoCellAnchor editAs="oneCell">
    <xdr:from>
      <xdr:col>11</xdr:col>
      <xdr:colOff>304801</xdr:colOff>
      <xdr:row>31</xdr:row>
      <xdr:rowOff>118533</xdr:rowOff>
    </xdr:from>
    <xdr:to>
      <xdr:col>13</xdr:col>
      <xdr:colOff>43678</xdr:colOff>
      <xdr:row>45</xdr:row>
      <xdr:rowOff>37254</xdr:rowOff>
    </xdr:to>
    <xdr:pic>
      <xdr:nvPicPr>
        <xdr:cNvPr id="8" name="Picture 7" descr="Time is money Basic Accent Lineal Color icon | Freepik">
          <a:hlinkClick xmlns:r="http://schemas.openxmlformats.org/officeDocument/2006/relationships" r:id="rId2"/>
          <a:extLst>
            <a:ext uri="{FF2B5EF4-FFF2-40B4-BE49-F238E27FC236}">
              <a16:creationId xmlns:a16="http://schemas.microsoft.com/office/drawing/2014/main" id="{7701226E-DAC4-40E2-B841-83DDC10EEF8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06534" y="5892800"/>
          <a:ext cx="2482077" cy="2526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inr\Downloads\CFI_Analytics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enue receipt"/>
      <sheetName val="revenue disbursements "/>
      <sheetName val="capital receipt"/>
      <sheetName val="capital disbursements"/>
      <sheetName val="Master Data"/>
      <sheetName val="Sub-Components"/>
      <sheetName val="Analytics"/>
      <sheetName val="Formula Guide"/>
    </sheetNames>
    <sheetDataSet>
      <sheetData sheetId="0">
        <row r="4">
          <cell r="B4">
            <v>0</v>
          </cell>
          <cell r="C4">
            <v>0</v>
          </cell>
          <cell r="D4">
            <v>0</v>
          </cell>
          <cell r="E4">
            <v>0</v>
          </cell>
          <cell r="F4">
            <v>444196.53</v>
          </cell>
          <cell r="G4">
            <v>584337.5</v>
          </cell>
          <cell r="H4">
            <v>601783.88</v>
          </cell>
          <cell r="I4">
            <v>551541.51</v>
          </cell>
          <cell r="J4">
            <v>702412.82</v>
          </cell>
          <cell r="K4">
            <v>853900.57</v>
          </cell>
          <cell r="L4">
            <v>962704.98</v>
          </cell>
          <cell r="M4">
            <v>1066839</v>
          </cell>
          <cell r="N4">
            <v>1183355</v>
          </cell>
        </row>
        <row r="5">
          <cell r="B5">
            <v>0</v>
          </cell>
          <cell r="C5">
            <v>0</v>
          </cell>
          <cell r="D5">
            <v>0</v>
          </cell>
          <cell r="E5">
            <v>0</v>
          </cell>
          <cell r="F5">
            <v>203261.4</v>
          </cell>
          <cell r="G5">
            <v>457534.01</v>
          </cell>
          <cell r="H5">
            <v>494070.6</v>
          </cell>
          <cell r="I5">
            <v>456333.97</v>
          </cell>
          <cell r="J5">
            <v>591226.14</v>
          </cell>
          <cell r="K5">
            <v>718521.75</v>
          </cell>
          <cell r="L5">
            <v>820622.09</v>
          </cell>
          <cell r="M5">
            <v>908459</v>
          </cell>
          <cell r="N5">
            <v>1010890</v>
          </cell>
        </row>
        <row r="7">
          <cell r="B7">
            <v>0</v>
          </cell>
          <cell r="C7">
            <v>0</v>
          </cell>
          <cell r="D7">
            <v>0</v>
          </cell>
          <cell r="E7">
            <v>0</v>
          </cell>
          <cell r="F7">
            <v>176688.44</v>
          </cell>
          <cell r="G7">
            <v>28944.58</v>
          </cell>
          <cell r="H7">
            <v>9125.2099999999991</v>
          </cell>
          <cell r="I7">
            <v>7251.43</v>
          </cell>
          <cell r="J7">
            <v>2119.08</v>
          </cell>
          <cell r="K7">
            <v>4748.29</v>
          </cell>
          <cell r="L7">
            <v>-4850.43</v>
          </cell>
          <cell r="M7">
            <v>0</v>
          </cell>
          <cell r="N7">
            <v>0</v>
          </cell>
        </row>
        <row r="8">
          <cell r="B8">
            <v>0</v>
          </cell>
          <cell r="C8">
            <v>0</v>
          </cell>
          <cell r="D8">
            <v>0</v>
          </cell>
          <cell r="E8">
            <v>0</v>
          </cell>
          <cell r="F8">
            <v>62611.59</v>
          </cell>
          <cell r="G8">
            <v>95080.71</v>
          </cell>
          <cell r="H8">
            <v>95553.09</v>
          </cell>
          <cell r="I8">
            <v>85191.91</v>
          </cell>
          <cell r="J8">
            <v>104768.66</v>
          </cell>
          <cell r="K8">
            <v>125862.41</v>
          </cell>
          <cell r="L8">
            <v>141436.16</v>
          </cell>
          <cell r="M8">
            <v>153440</v>
          </cell>
          <cell r="N8">
            <v>167110</v>
          </cell>
        </row>
        <row r="9">
          <cell r="B9">
            <v>632517.30000000005</v>
          </cell>
          <cell r="C9">
            <v>687259.5</v>
          </cell>
          <cell r="D9">
            <v>733515.33</v>
          </cell>
          <cell r="E9">
            <v>840530.12</v>
          </cell>
          <cell r="F9">
            <v>990092.49</v>
          </cell>
          <cell r="G9">
            <v>1125046.98</v>
          </cell>
          <cell r="H9">
            <v>1037155.03</v>
          </cell>
          <cell r="I9">
            <v>927935.69</v>
          </cell>
          <cell r="J9">
            <v>1385089.52</v>
          </cell>
          <cell r="K9">
            <v>1634008.03</v>
          </cell>
          <cell r="L9">
            <v>1922033.48</v>
          </cell>
          <cell r="M9">
            <v>2182000</v>
          </cell>
          <cell r="N9">
            <v>2442000</v>
          </cell>
        </row>
        <row r="10">
          <cell r="B10">
            <v>394677.85</v>
          </cell>
          <cell r="C10">
            <v>428924.74</v>
          </cell>
          <cell r="D10">
            <v>453228.33</v>
          </cell>
          <cell r="E10">
            <v>484923.86</v>
          </cell>
          <cell r="F10">
            <v>571201.87</v>
          </cell>
          <cell r="G10">
            <v>663571.62</v>
          </cell>
          <cell r="H10">
            <v>556875.55000000005</v>
          </cell>
          <cell r="I10">
            <v>457718.97</v>
          </cell>
          <cell r="J10">
            <v>712037.33</v>
          </cell>
          <cell r="K10">
            <v>825833.64</v>
          </cell>
          <cell r="L10">
            <v>911055.01</v>
          </cell>
          <cell r="M10">
            <v>980000</v>
          </cell>
          <cell r="N10">
            <v>1082000</v>
          </cell>
        </row>
        <row r="11">
          <cell r="B11">
            <v>237817.23</v>
          </cell>
          <cell r="C11">
            <v>258325.65</v>
          </cell>
          <cell r="D11">
            <v>280322.5</v>
          </cell>
          <cell r="E11">
            <v>340504.5</v>
          </cell>
          <cell r="F11">
            <v>408091.43</v>
          </cell>
          <cell r="G11">
            <v>461487.51</v>
          </cell>
          <cell r="H11">
            <v>480348.14</v>
          </cell>
          <cell r="I11">
            <v>470391.24</v>
          </cell>
          <cell r="J11">
            <v>673100.48</v>
          </cell>
          <cell r="K11">
            <v>808221.32</v>
          </cell>
          <cell r="L11">
            <v>1010947.77</v>
          </cell>
          <cell r="M11">
            <v>1199300</v>
          </cell>
          <cell r="N11">
            <v>1357000</v>
          </cell>
        </row>
        <row r="16">
          <cell r="B16">
            <v>6025.37</v>
          </cell>
          <cell r="C16">
            <v>8484.36</v>
          </cell>
          <cell r="D16">
            <v>8429.3799999999992</v>
          </cell>
          <cell r="E16">
            <v>9183.26</v>
          </cell>
          <cell r="F16">
            <v>11944.83</v>
          </cell>
          <cell r="G16">
            <v>11568.36</v>
          </cell>
          <cell r="H16">
            <v>12394.04</v>
          </cell>
          <cell r="I16">
            <v>16938.84</v>
          </cell>
          <cell r="J16">
            <v>23203.82</v>
          </cell>
          <cell r="K16">
            <v>25076.35</v>
          </cell>
          <cell r="L16">
            <v>33785.519999999997</v>
          </cell>
          <cell r="M16">
            <v>55000</v>
          </cell>
          <cell r="N16">
            <v>78000</v>
          </cell>
        </row>
        <row r="21">
          <cell r="B21">
            <v>5017.5</v>
          </cell>
          <cell r="C21">
            <v>7398.15</v>
          </cell>
          <cell r="D21">
            <v>7350.12</v>
          </cell>
          <cell r="E21">
            <v>8998.1200000000008</v>
          </cell>
          <cell r="F21">
            <v>11881.4</v>
          </cell>
          <cell r="G21">
            <v>11527.5</v>
          </cell>
          <cell r="H21">
            <v>12374.23</v>
          </cell>
          <cell r="I21">
            <v>16926.990000000002</v>
          </cell>
          <cell r="J21">
            <v>23191.03</v>
          </cell>
          <cell r="K21">
            <v>25085.37</v>
          </cell>
          <cell r="L21">
            <v>33777.78</v>
          </cell>
          <cell r="M21">
            <v>55000</v>
          </cell>
          <cell r="N21">
            <v>78000</v>
          </cell>
        </row>
        <row r="22">
          <cell r="B22">
            <v>497322.97</v>
          </cell>
          <cell r="C22">
            <v>546188.14</v>
          </cell>
          <cell r="D22">
            <v>710068.12</v>
          </cell>
          <cell r="E22">
            <v>862109.13</v>
          </cell>
          <cell r="F22">
            <v>469864.1</v>
          </cell>
          <cell r="G22">
            <v>356698.37</v>
          </cell>
          <cell r="H22">
            <v>355926.17</v>
          </cell>
          <cell r="I22">
            <v>528115.66</v>
          </cell>
          <cell r="J22">
            <v>595383.93000000005</v>
          </cell>
          <cell r="K22">
            <v>537263.52</v>
          </cell>
          <cell r="L22">
            <v>543249.51</v>
          </cell>
          <cell r="M22">
            <v>545100</v>
          </cell>
          <cell r="N22">
            <v>562100</v>
          </cell>
        </row>
        <row r="24">
          <cell r="B24">
            <v>172085.42</v>
          </cell>
          <cell r="C24">
            <v>188016.19</v>
          </cell>
          <cell r="D24">
            <v>210338</v>
          </cell>
          <cell r="E24">
            <v>225370.34</v>
          </cell>
          <cell r="F24">
            <v>129029.92</v>
          </cell>
          <cell r="G24">
            <v>117812.85</v>
          </cell>
          <cell r="H24">
            <v>109282.54</v>
          </cell>
          <cell r="I24">
            <v>134750.39000000001</v>
          </cell>
          <cell r="J24">
            <v>199728.3</v>
          </cell>
          <cell r="K24">
            <v>213372.09</v>
          </cell>
          <cell r="L24">
            <v>233118.97</v>
          </cell>
          <cell r="M24">
            <v>235000</v>
          </cell>
          <cell r="N24">
            <v>240000</v>
          </cell>
        </row>
        <row r="25">
          <cell r="B25">
            <v>169455.14</v>
          </cell>
          <cell r="C25">
            <v>188127.6</v>
          </cell>
          <cell r="D25">
            <v>287148.55</v>
          </cell>
          <cell r="E25">
            <v>380495.43</v>
          </cell>
          <cell r="F25">
            <v>258635.93</v>
          </cell>
          <cell r="G25">
            <v>230992.59</v>
          </cell>
          <cell r="H25">
            <v>239452.43</v>
          </cell>
          <cell r="I25">
            <v>389667.08</v>
          </cell>
          <cell r="J25">
            <v>390808.07</v>
          </cell>
          <cell r="K25">
            <v>319000.11</v>
          </cell>
          <cell r="L25">
            <v>305362.18</v>
          </cell>
          <cell r="M25">
            <v>305000</v>
          </cell>
          <cell r="N25">
            <v>317000</v>
          </cell>
        </row>
        <row r="27">
          <cell r="B27">
            <v>154778.12</v>
          </cell>
          <cell r="C27">
            <v>167969.04</v>
          </cell>
          <cell r="D27">
            <v>211414.25</v>
          </cell>
          <cell r="E27">
            <v>254498.74</v>
          </cell>
          <cell r="F27">
            <v>81228.070000000007</v>
          </cell>
          <cell r="G27">
            <v>6903.62</v>
          </cell>
          <cell r="H27">
            <v>6029.11</v>
          </cell>
          <cell r="I27">
            <v>1614.84</v>
          </cell>
          <cell r="J27">
            <v>1011.82</v>
          </cell>
          <cell r="K27">
            <v>430.77</v>
          </cell>
          <cell r="L27">
            <v>424.96</v>
          </cell>
          <cell r="M27">
            <v>100</v>
          </cell>
          <cell r="N27">
            <v>100</v>
          </cell>
        </row>
        <row r="30">
          <cell r="B30">
            <v>1138995.47</v>
          </cell>
          <cell r="C30">
            <v>1245135.75</v>
          </cell>
          <cell r="D30">
            <v>1455891.09</v>
          </cell>
          <cell r="E30">
            <v>1715968.04</v>
          </cell>
          <cell r="F30">
            <v>1919183.53</v>
          </cell>
          <cell r="G30">
            <v>2080465.43</v>
          </cell>
          <cell r="H30">
            <v>2010059.33</v>
          </cell>
          <cell r="I30">
            <v>2027103.84</v>
          </cell>
          <cell r="J30">
            <v>2709315.08</v>
          </cell>
          <cell r="K30">
            <v>3054191.64</v>
          </cell>
          <cell r="L30">
            <v>3465518.58</v>
          </cell>
          <cell r="M30">
            <v>3853455.01</v>
          </cell>
          <cell r="N30">
            <v>4270233</v>
          </cell>
        </row>
        <row r="31">
          <cell r="B31">
            <v>318229.58</v>
          </cell>
          <cell r="C31">
            <v>337808.45</v>
          </cell>
          <cell r="D31">
            <v>506192.96</v>
          </cell>
          <cell r="E31">
            <v>608000.31000000006</v>
          </cell>
          <cell r="F31">
            <v>673005.29</v>
          </cell>
          <cell r="G31">
            <v>761454.15</v>
          </cell>
          <cell r="H31">
            <v>650677.05000000005</v>
          </cell>
          <cell r="I31">
            <v>594996.76</v>
          </cell>
          <cell r="J31">
            <v>898391.57</v>
          </cell>
          <cell r="K31">
            <v>948405.82</v>
          </cell>
          <cell r="L31">
            <v>1129493.71</v>
          </cell>
          <cell r="M31">
            <v>1286885.44</v>
          </cell>
          <cell r="N31">
            <v>1422444.11</v>
          </cell>
        </row>
        <row r="32">
          <cell r="B32">
            <v>820765.89</v>
          </cell>
          <cell r="C32">
            <v>907327.3</v>
          </cell>
          <cell r="D32">
            <v>949698.13</v>
          </cell>
          <cell r="E32">
            <v>1107967.73</v>
          </cell>
          <cell r="F32">
            <v>1246178.24</v>
          </cell>
          <cell r="G32">
            <v>1319011.28</v>
          </cell>
          <cell r="H32">
            <v>1359382.28</v>
          </cell>
          <cell r="I32">
            <v>1432107.08</v>
          </cell>
          <cell r="J32">
            <v>1810923.51</v>
          </cell>
          <cell r="K32">
            <v>2105785.8199999998</v>
          </cell>
          <cell r="L32">
            <v>2336024.87</v>
          </cell>
          <cell r="M32">
            <v>2566569.5699999998</v>
          </cell>
          <cell r="N32">
            <v>2847788.89</v>
          </cell>
        </row>
        <row r="35">
          <cell r="B35">
            <v>883.77</v>
          </cell>
          <cell r="C35">
            <v>1393.59</v>
          </cell>
          <cell r="D35">
            <v>630.14</v>
          </cell>
          <cell r="E35">
            <v>764.85</v>
          </cell>
          <cell r="F35">
            <v>460.13</v>
          </cell>
          <cell r="G35">
            <v>743.71</v>
          </cell>
          <cell r="H35">
            <v>1041.06</v>
          </cell>
          <cell r="I35">
            <v>1168.8</v>
          </cell>
          <cell r="J35">
            <v>193.26</v>
          </cell>
          <cell r="K35">
            <v>1127.6500000000001</v>
          </cell>
          <cell r="L35">
            <v>1858.12</v>
          </cell>
          <cell r="M35">
            <v>1473.82</v>
          </cell>
          <cell r="N35">
            <v>2318.6799999999998</v>
          </cell>
        </row>
        <row r="38">
          <cell r="B38">
            <v>134425.87</v>
          </cell>
          <cell r="C38">
            <v>137818.23000000001</v>
          </cell>
          <cell r="D38">
            <v>158405.84</v>
          </cell>
          <cell r="E38">
            <v>166478.07</v>
          </cell>
          <cell r="F38">
            <v>137085.12</v>
          </cell>
          <cell r="G38">
            <v>140564.19</v>
          </cell>
          <cell r="H38">
            <v>243083.32</v>
          </cell>
          <cell r="I38">
            <v>156406.51</v>
          </cell>
          <cell r="J38">
            <v>206810.28</v>
          </cell>
          <cell r="K38">
            <v>159464.25</v>
          </cell>
          <cell r="L38">
            <v>249528.99</v>
          </cell>
          <cell r="M38">
            <v>372557.09</v>
          </cell>
          <cell r="N38">
            <v>415237.98</v>
          </cell>
        </row>
        <row r="39">
          <cell r="B39">
            <v>43991.35</v>
          </cell>
          <cell r="C39">
            <v>47985.19</v>
          </cell>
          <cell r="D39">
            <v>46278.69</v>
          </cell>
          <cell r="E39">
            <v>43461.52</v>
          </cell>
          <cell r="F39">
            <v>45724.65</v>
          </cell>
          <cell r="G39">
            <v>27143.68</v>
          </cell>
          <cell r="H39">
            <v>56950.78</v>
          </cell>
          <cell r="I39">
            <v>59528.76</v>
          </cell>
          <cell r="J39">
            <v>46163.53</v>
          </cell>
          <cell r="K39">
            <v>59550.41</v>
          </cell>
          <cell r="L39">
            <v>78652.02</v>
          </cell>
          <cell r="M39">
            <v>83272.490000000005</v>
          </cell>
          <cell r="N39">
            <v>90237.98</v>
          </cell>
        </row>
        <row r="43">
          <cell r="B43">
            <v>90434.52</v>
          </cell>
          <cell r="C43">
            <v>89833.04</v>
          </cell>
          <cell r="D43">
            <v>112127.15</v>
          </cell>
          <cell r="E43">
            <v>123016.55</v>
          </cell>
          <cell r="F43">
            <v>91360.47</v>
          </cell>
          <cell r="G43">
            <v>113420.51</v>
          </cell>
          <cell r="H43">
            <v>186132.54</v>
          </cell>
          <cell r="I43">
            <v>96877.75</v>
          </cell>
          <cell r="J43">
            <v>160646.75</v>
          </cell>
          <cell r="K43">
            <v>99913.84</v>
          </cell>
          <cell r="L43">
            <v>170876.97</v>
          </cell>
          <cell r="M43">
            <v>289284.59999999998</v>
          </cell>
          <cell r="N43">
            <v>325000</v>
          </cell>
        </row>
        <row r="44">
          <cell r="B44">
            <v>114891.32</v>
          </cell>
          <cell r="C44">
            <v>119752.71</v>
          </cell>
          <cell r="D44">
            <v>325544.88</v>
          </cell>
          <cell r="E44">
            <v>339477.74</v>
          </cell>
          <cell r="F44">
            <v>303837.40999999997</v>
          </cell>
          <cell r="G44">
            <v>345080.54</v>
          </cell>
          <cell r="H44">
            <v>344203.9</v>
          </cell>
          <cell r="I44">
            <v>273079.44</v>
          </cell>
          <cell r="J44">
            <v>417188.47</v>
          </cell>
          <cell r="K44">
            <v>445002.37</v>
          </cell>
          <cell r="L44">
            <v>499749.92</v>
          </cell>
          <cell r="M44">
            <v>544093.05000000005</v>
          </cell>
          <cell r="N44">
            <v>568748.43999999994</v>
          </cell>
        </row>
        <row r="45">
          <cell r="B45">
            <v>28956.11</v>
          </cell>
          <cell r="C45">
            <v>35319.99</v>
          </cell>
          <cell r="D45">
            <v>35513.32</v>
          </cell>
          <cell r="E45">
            <v>40652.03</v>
          </cell>
          <cell r="F45">
            <v>42065.18</v>
          </cell>
          <cell r="G45">
            <v>47322.8</v>
          </cell>
          <cell r="H45">
            <v>45845.22</v>
          </cell>
          <cell r="I45">
            <v>39565.879999999997</v>
          </cell>
          <cell r="J45">
            <v>65742.45</v>
          </cell>
          <cell r="K45">
            <v>56303.68</v>
          </cell>
          <cell r="L45">
            <v>63297.87</v>
          </cell>
          <cell r="M45">
            <v>61367.9</v>
          </cell>
          <cell r="N45">
            <v>72257.03</v>
          </cell>
        </row>
        <row r="61">
          <cell r="B61">
            <v>1263.8800000000001</v>
          </cell>
          <cell r="C61">
            <v>1674.87</v>
          </cell>
          <cell r="D61">
            <v>10015.1</v>
          </cell>
          <cell r="E61">
            <v>11928.15</v>
          </cell>
          <cell r="F61">
            <v>3008.13</v>
          </cell>
          <cell r="G61">
            <v>3079.9</v>
          </cell>
          <cell r="H61">
            <v>3404.2</v>
          </cell>
          <cell r="I61">
            <v>3790.65</v>
          </cell>
          <cell r="J61">
            <v>4761.09</v>
          </cell>
          <cell r="K61">
            <v>6887.94</v>
          </cell>
          <cell r="L61">
            <v>7669.8</v>
          </cell>
          <cell r="M61">
            <v>6426.34</v>
          </cell>
          <cell r="N61">
            <v>11187.46</v>
          </cell>
        </row>
        <row r="73">
          <cell r="B73">
            <v>226411.08</v>
          </cell>
          <cell r="C73">
            <v>242412.84</v>
          </cell>
          <cell r="D73">
            <v>278478.19</v>
          </cell>
          <cell r="E73">
            <v>285093.53000000003</v>
          </cell>
          <cell r="F73">
            <v>256874.48</v>
          </cell>
          <cell r="G73">
            <v>292788.31</v>
          </cell>
          <cell r="H73">
            <v>293192.67</v>
          </cell>
          <cell r="I73">
            <v>228124.6</v>
          </cell>
          <cell r="J73">
            <v>344939.98</v>
          </cell>
          <cell r="K73">
            <v>379620.09</v>
          </cell>
          <cell r="L73">
            <v>425716.59</v>
          </cell>
          <cell r="M73">
            <v>473228.53</v>
          </cell>
          <cell r="N73">
            <v>481884.77</v>
          </cell>
        </row>
        <row r="105">
          <cell r="B105">
            <v>10730.42</v>
          </cell>
          <cell r="C105">
            <v>11635.98</v>
          </cell>
          <cell r="D105">
            <v>12939.79</v>
          </cell>
          <cell r="E105">
            <v>11511</v>
          </cell>
          <cell r="F105">
            <v>12832.76</v>
          </cell>
          <cell r="G105">
            <v>13195.68</v>
          </cell>
          <cell r="H105">
            <v>13558.2</v>
          </cell>
          <cell r="I105">
            <v>10632.31</v>
          </cell>
          <cell r="J105">
            <v>10860.8</v>
          </cell>
          <cell r="K105">
            <v>10917.89</v>
          </cell>
          <cell r="L105">
            <v>11321.36</v>
          </cell>
          <cell r="M105">
            <v>12207.01</v>
          </cell>
          <cell r="N105">
            <v>12487.11</v>
          </cell>
        </row>
        <row r="106">
          <cell r="B106">
            <v>40113.760000000002</v>
          </cell>
          <cell r="C106">
            <v>30624.18</v>
          </cell>
          <cell r="D106">
            <v>56478.61</v>
          </cell>
          <cell r="E106">
            <v>70241.14</v>
          </cell>
          <cell r="F106">
            <v>32065.9</v>
          </cell>
          <cell r="G106">
            <v>40815.730000000003</v>
          </cell>
          <cell r="H106">
            <v>69846.429999999993</v>
          </cell>
          <cell r="I106">
            <v>45500.65</v>
          </cell>
          <cell r="J106">
            <v>85828.07</v>
          </cell>
          <cell r="K106">
            <v>64835.17</v>
          </cell>
          <cell r="L106">
            <v>90659.26</v>
          </cell>
          <cell r="M106">
            <v>123357.2</v>
          </cell>
          <cell r="N106">
            <v>82442.84</v>
          </cell>
        </row>
        <row r="116">
          <cell r="B116">
            <v>3618.06</v>
          </cell>
          <cell r="C116">
            <v>1599.88</v>
          </cell>
          <cell r="D116">
            <v>1881.23</v>
          </cell>
          <cell r="E116">
            <v>1299.5899999999999</v>
          </cell>
          <cell r="F116">
            <v>3582.2</v>
          </cell>
          <cell r="G116">
            <v>1063.19</v>
          </cell>
          <cell r="H116">
            <v>372.97</v>
          </cell>
          <cell r="I116">
            <v>1751.64</v>
          </cell>
          <cell r="J116">
            <v>1305.96</v>
          </cell>
          <cell r="K116">
            <v>1887.11</v>
          </cell>
          <cell r="L116">
            <v>1012.74</v>
          </cell>
          <cell r="M116">
            <v>1175.76</v>
          </cell>
          <cell r="N116">
            <v>1174.53</v>
          </cell>
        </row>
        <row r="119">
          <cell r="B119">
            <v>397032.9</v>
          </cell>
          <cell r="C119">
            <v>421581.66</v>
          </cell>
          <cell r="D119">
            <v>486462.09</v>
          </cell>
          <cell r="E119">
            <v>508020.25</v>
          </cell>
          <cell r="F119">
            <v>444964.86</v>
          </cell>
          <cell r="G119">
            <v>487451.63</v>
          </cell>
          <cell r="H119">
            <v>588701.25</v>
          </cell>
          <cell r="I119">
            <v>432406.39</v>
          </cell>
          <cell r="J119">
            <v>625497.97</v>
          </cell>
          <cell r="K119">
            <v>607481.38</v>
          </cell>
          <cell r="L119">
            <v>752149.77</v>
          </cell>
          <cell r="M119">
            <v>919299.72</v>
          </cell>
          <cell r="N119">
            <v>987479.63</v>
          </cell>
        </row>
        <row r="120">
          <cell r="B120">
            <v>1217798.79</v>
          </cell>
          <cell r="C120">
            <v>1328908.96</v>
          </cell>
          <cell r="D120">
            <v>1436160.22</v>
          </cell>
          <cell r="E120">
            <v>1615987.98</v>
          </cell>
          <cell r="F120">
            <v>1691143.1</v>
          </cell>
          <cell r="G120">
            <v>1806462.91</v>
          </cell>
          <cell r="H120">
            <v>1948083.53</v>
          </cell>
          <cell r="I120">
            <v>1864513.47</v>
          </cell>
          <cell r="J120">
            <v>2436421.48</v>
          </cell>
          <cell r="K120">
            <v>2713267.2</v>
          </cell>
          <cell r="L120">
            <v>3088174.64</v>
          </cell>
          <cell r="M120">
            <v>3485869.29</v>
          </cell>
          <cell r="N120">
            <v>3835268.52</v>
          </cell>
        </row>
        <row r="122">
          <cell r="B122">
            <v>1575096.57</v>
          </cell>
          <cell r="C122">
            <v>1695136.79</v>
          </cell>
          <cell r="D122">
            <v>1779528.81</v>
          </cell>
          <cell r="E122">
            <v>1933018.06</v>
          </cell>
          <cell r="F122">
            <v>2140084.5299999998</v>
          </cell>
          <cell r="G122">
            <v>2261570.81</v>
          </cell>
          <cell r="H122">
            <v>2615319.67</v>
          </cell>
          <cell r="I122">
            <v>3314851.92</v>
          </cell>
          <cell r="J122">
            <v>3468188.81</v>
          </cell>
          <cell r="K122">
            <v>3783698.51</v>
          </cell>
          <cell r="L122">
            <v>3854082.21</v>
          </cell>
          <cell r="M122">
            <v>4096607.07</v>
          </cell>
          <cell r="N122">
            <v>4359702.41</v>
          </cell>
        </row>
      </sheetData>
      <sheetData sheetId="1">
        <row r="3">
          <cell r="B3">
            <v>678742.7</v>
          </cell>
          <cell r="C3">
            <v>751667.18</v>
          </cell>
          <cell r="D3">
            <v>803420.84</v>
          </cell>
          <cell r="E3">
            <v>924736.15</v>
          </cell>
          <cell r="F3">
            <v>1008488.62</v>
          </cell>
          <cell r="G3">
            <v>1100282.99</v>
          </cell>
          <cell r="H3">
            <v>1210584.8400000001</v>
          </cell>
          <cell r="I3">
            <v>1294769.24</v>
          </cell>
          <cell r="J3">
            <v>1478491.06</v>
          </cell>
          <cell r="K3">
            <v>1677865.95</v>
          </cell>
          <cell r="L3">
            <v>1876063.41</v>
          </cell>
          <cell r="M3">
            <v>2042886.1</v>
          </cell>
          <cell r="N3">
            <v>2182279.64</v>
          </cell>
        </row>
        <row r="4">
          <cell r="B4">
            <v>5044.4799999999996</v>
          </cell>
          <cell r="C4">
            <v>5213.82</v>
          </cell>
          <cell r="D4">
            <v>7300.44</v>
          </cell>
          <cell r="E4">
            <v>8664.35</v>
          </cell>
          <cell r="F4">
            <v>7936.69</v>
          </cell>
          <cell r="G4">
            <v>8538.68</v>
          </cell>
          <cell r="H4">
            <v>9295.48</v>
          </cell>
          <cell r="I4">
            <v>8008.86</v>
          </cell>
          <cell r="J4">
            <v>10077.41</v>
          </cell>
          <cell r="K4">
            <v>12280.97</v>
          </cell>
          <cell r="L4">
            <v>13283.76</v>
          </cell>
          <cell r="M4">
            <v>14107.08</v>
          </cell>
          <cell r="N4">
            <v>12737.04</v>
          </cell>
        </row>
        <row r="11">
          <cell r="B11">
            <v>8464</v>
          </cell>
          <cell r="C11">
            <v>9593.3799999999992</v>
          </cell>
          <cell r="D11">
            <v>10648.57</v>
          </cell>
          <cell r="E11">
            <v>13000.46</v>
          </cell>
          <cell r="F11">
            <v>15361.52</v>
          </cell>
          <cell r="G11">
            <v>16536.59</v>
          </cell>
          <cell r="H11">
            <v>16834.72</v>
          </cell>
          <cell r="I11">
            <v>17019.759999999998</v>
          </cell>
          <cell r="J11">
            <v>67395.600000000006</v>
          </cell>
          <cell r="K11">
            <v>45640.91</v>
          </cell>
          <cell r="L11">
            <v>45881.599999999999</v>
          </cell>
          <cell r="M11">
            <v>51775.99</v>
          </cell>
          <cell r="N11">
            <v>55177.64</v>
          </cell>
        </row>
        <row r="20">
          <cell r="B20">
            <v>395199.59</v>
          </cell>
          <cell r="C20">
            <v>425098.26</v>
          </cell>
          <cell r="D20">
            <v>457270.38</v>
          </cell>
          <cell r="E20">
            <v>504512.46</v>
          </cell>
          <cell r="F20">
            <v>543707.26</v>
          </cell>
          <cell r="G20">
            <v>595552.17000000004</v>
          </cell>
          <cell r="H20">
            <v>655370.53</v>
          </cell>
          <cell r="I20">
            <v>720983.93</v>
          </cell>
          <cell r="J20">
            <v>828252.59</v>
          </cell>
          <cell r="K20">
            <v>958715.21</v>
          </cell>
          <cell r="L20">
            <v>1102650.18</v>
          </cell>
          <cell r="M20">
            <v>1185170.92</v>
          </cell>
          <cell r="N20">
            <v>1315837.98</v>
          </cell>
        </row>
        <row r="22">
          <cell r="B22">
            <v>394512.11</v>
          </cell>
          <cell r="C22">
            <v>425098.26</v>
          </cell>
          <cell r="D22">
            <v>457232.16</v>
          </cell>
          <cell r="E22">
            <v>503919.04</v>
          </cell>
          <cell r="F22">
            <v>543404.14</v>
          </cell>
          <cell r="G22">
            <v>595530.23999999999</v>
          </cell>
          <cell r="H22">
            <v>649879.87</v>
          </cell>
          <cell r="I22">
            <v>711936.57</v>
          </cell>
          <cell r="J22">
            <v>823011.28</v>
          </cell>
          <cell r="K22">
            <v>957689.53</v>
          </cell>
          <cell r="L22">
            <v>1101867.8799999999</v>
          </cell>
          <cell r="M22">
            <v>1182510.33</v>
          </cell>
          <cell r="N22">
            <v>1313487.98</v>
          </cell>
        </row>
        <row r="23">
          <cell r="B23">
            <v>52479.96</v>
          </cell>
          <cell r="C23">
            <v>58552.91</v>
          </cell>
          <cell r="D23">
            <v>65051.15</v>
          </cell>
          <cell r="E23">
            <v>76186.880000000005</v>
          </cell>
          <cell r="F23">
            <v>85190.03</v>
          </cell>
          <cell r="G23">
            <v>98577.47</v>
          </cell>
          <cell r="H23">
            <v>109586.86</v>
          </cell>
          <cell r="I23">
            <v>105083.76</v>
          </cell>
          <cell r="J23">
            <v>118244.14</v>
          </cell>
          <cell r="K23">
            <v>130975.55</v>
          </cell>
          <cell r="L23">
            <v>141804.85999999999</v>
          </cell>
          <cell r="M23">
            <v>164840.57999999999</v>
          </cell>
          <cell r="N23">
            <v>170552.75</v>
          </cell>
        </row>
        <row r="26">
          <cell r="B26">
            <v>42994.76</v>
          </cell>
          <cell r="C26">
            <v>47943.3</v>
          </cell>
          <cell r="D26">
            <v>53015.02</v>
          </cell>
          <cell r="E26">
            <v>62732.88</v>
          </cell>
          <cell r="F26">
            <v>69472.600000000006</v>
          </cell>
          <cell r="G26">
            <v>80406.350000000006</v>
          </cell>
          <cell r="H26">
            <v>89866.55</v>
          </cell>
          <cell r="I26">
            <v>86793.01</v>
          </cell>
          <cell r="J26">
            <v>98283.92</v>
          </cell>
          <cell r="K26">
            <v>107186.53</v>
          </cell>
          <cell r="L26">
            <v>115392.83</v>
          </cell>
          <cell r="M26">
            <v>136306.43</v>
          </cell>
          <cell r="N26">
            <v>141879.63</v>
          </cell>
        </row>
        <row r="34">
          <cell r="B34">
            <v>87551.62</v>
          </cell>
          <cell r="C34">
            <v>107910.62</v>
          </cell>
          <cell r="D34">
            <v>111285.34</v>
          </cell>
          <cell r="E34">
            <v>149236.97</v>
          </cell>
          <cell r="F34">
            <v>163195.74</v>
          </cell>
          <cell r="G34">
            <v>176909.73</v>
          </cell>
          <cell r="H34">
            <v>203877.44</v>
          </cell>
          <cell r="I34">
            <v>227572.6</v>
          </cell>
          <cell r="J34">
            <v>218981.69</v>
          </cell>
          <cell r="K34">
            <v>265359.82</v>
          </cell>
          <cell r="L34">
            <v>273542.40999999997</v>
          </cell>
          <cell r="M34">
            <v>320886.63</v>
          </cell>
          <cell r="N34">
            <v>308118.68</v>
          </cell>
        </row>
        <row r="35">
          <cell r="B35">
            <v>74896.19</v>
          </cell>
          <cell r="C35">
            <v>93610.72</v>
          </cell>
          <cell r="D35">
            <v>96770.94</v>
          </cell>
          <cell r="E35">
            <v>131400.85</v>
          </cell>
          <cell r="F35">
            <v>145745.07</v>
          </cell>
          <cell r="G35">
            <v>160211.49</v>
          </cell>
          <cell r="H35">
            <v>183954.61</v>
          </cell>
          <cell r="I35">
            <v>208473.04</v>
          </cell>
          <cell r="J35">
            <v>198946.1</v>
          </cell>
          <cell r="K35">
            <v>241599.29</v>
          </cell>
          <cell r="L35">
            <v>238328.29</v>
          </cell>
          <cell r="M35">
            <v>276102.90000000002</v>
          </cell>
          <cell r="N35">
            <v>277618.32</v>
          </cell>
        </row>
        <row r="37">
          <cell r="B37">
            <v>129890.21</v>
          </cell>
          <cell r="C37">
            <v>145145.95000000001</v>
          </cell>
          <cell r="D37">
            <v>151599.47</v>
          </cell>
          <cell r="E37">
            <v>173025.04</v>
          </cell>
          <cell r="F37">
            <v>192865.24</v>
          </cell>
          <cell r="G37">
            <v>203882.56</v>
          </cell>
          <cell r="H37">
            <v>215297.28</v>
          </cell>
          <cell r="I37">
            <v>215513.72</v>
          </cell>
          <cell r="J37">
            <v>234955.86</v>
          </cell>
          <cell r="K37">
            <v>264232.90999999997</v>
          </cell>
          <cell r="L37">
            <v>297738.46999999997</v>
          </cell>
          <cell r="M37">
            <v>304863.40999999997</v>
          </cell>
          <cell r="N37">
            <v>318723.58</v>
          </cell>
        </row>
        <row r="38">
          <cell r="B38">
            <v>87750.54</v>
          </cell>
          <cell r="C38">
            <v>99321.39</v>
          </cell>
          <cell r="D38">
            <v>105994.58</v>
          </cell>
          <cell r="E38">
            <v>120374.48</v>
          </cell>
          <cell r="F38">
            <v>135362.35999999999</v>
          </cell>
          <cell r="G38">
            <v>141829.60999999999</v>
          </cell>
          <cell r="H38">
            <v>146821.92000000001</v>
          </cell>
          <cell r="I38">
            <v>145181.03</v>
          </cell>
          <cell r="J38">
            <v>161728.26999999999</v>
          </cell>
          <cell r="K38">
            <v>175666.05</v>
          </cell>
          <cell r="L38">
            <v>197020.12</v>
          </cell>
          <cell r="M38">
            <v>204628.97</v>
          </cell>
          <cell r="N38">
            <v>212030.78</v>
          </cell>
        </row>
        <row r="39">
          <cell r="B39">
            <v>13472.26</v>
          </cell>
          <cell r="C39">
            <v>14352</v>
          </cell>
          <cell r="D39">
            <v>15320.81</v>
          </cell>
          <cell r="E39">
            <v>17469.27</v>
          </cell>
          <cell r="F39">
            <v>19344.87</v>
          </cell>
          <cell r="G39">
            <v>21738.880000000001</v>
          </cell>
          <cell r="H39">
            <v>23087.69</v>
          </cell>
          <cell r="I39">
            <v>24710.34</v>
          </cell>
          <cell r="J39">
            <v>24426.52</v>
          </cell>
          <cell r="K39">
            <v>31343.599999999999</v>
          </cell>
          <cell r="L39">
            <v>35147.800000000003</v>
          </cell>
          <cell r="M39">
            <v>36557.31</v>
          </cell>
          <cell r="N39">
            <v>39019.800000000003</v>
          </cell>
        </row>
        <row r="40">
          <cell r="B40">
            <v>20160.27</v>
          </cell>
          <cell r="C40">
            <v>22685.3</v>
          </cell>
          <cell r="D40">
            <v>21848.9</v>
          </cell>
          <cell r="E40">
            <v>25228.14</v>
          </cell>
          <cell r="F40">
            <v>28418.799999999999</v>
          </cell>
          <cell r="G40">
            <v>29370.54</v>
          </cell>
          <cell r="H40">
            <v>31528.49</v>
          </cell>
          <cell r="I40">
            <v>34615.96</v>
          </cell>
          <cell r="J40">
            <v>35687.93</v>
          </cell>
          <cell r="K40">
            <v>47455.55</v>
          </cell>
          <cell r="L40">
            <v>54742.33</v>
          </cell>
          <cell r="M40">
            <v>51876.77</v>
          </cell>
          <cell r="N40">
            <v>55000</v>
          </cell>
        </row>
        <row r="42">
          <cell r="B42">
            <v>5696.32</v>
          </cell>
          <cell r="C42">
            <v>6237.08</v>
          </cell>
          <cell r="D42">
            <v>6183.9</v>
          </cell>
          <cell r="E42">
            <v>6963.69</v>
          </cell>
          <cell r="F42">
            <v>8033.79</v>
          </cell>
          <cell r="G42">
            <v>8431.44</v>
          </cell>
          <cell r="H42">
            <v>9086.14</v>
          </cell>
          <cell r="I42">
            <v>8350.77</v>
          </cell>
          <cell r="J42">
            <v>8406.2199999999993</v>
          </cell>
          <cell r="K42">
            <v>9407.7900000000009</v>
          </cell>
          <cell r="L42">
            <v>10427.48</v>
          </cell>
          <cell r="M42">
            <v>11330.01</v>
          </cell>
          <cell r="N42">
            <v>12193</v>
          </cell>
        </row>
      </sheetData>
      <sheetData sheetId="2">
        <row r="7">
          <cell r="B7">
            <v>563674.67000000004</v>
          </cell>
          <cell r="C7">
            <v>592000</v>
          </cell>
          <cell r="D7">
            <v>585000</v>
          </cell>
          <cell r="E7">
            <v>583045</v>
          </cell>
          <cell r="F7">
            <v>588000</v>
          </cell>
          <cell r="G7">
            <v>571000</v>
          </cell>
          <cell r="H7">
            <v>710000</v>
          </cell>
          <cell r="I7">
            <v>1260115.73</v>
          </cell>
          <cell r="J7">
            <v>968381.54</v>
          </cell>
          <cell r="K7">
            <v>1421000</v>
          </cell>
          <cell r="L7">
            <v>1543000</v>
          </cell>
          <cell r="M7">
            <v>1400697.4</v>
          </cell>
          <cell r="N7">
            <v>1482000</v>
          </cell>
        </row>
        <row r="9">
          <cell r="B9">
            <v>2151859.5299999998</v>
          </cell>
          <cell r="C9">
            <v>2216124.48</v>
          </cell>
          <cell r="D9">
            <v>2449918.9700000002</v>
          </cell>
          <cell r="E9">
            <v>3216118.41</v>
          </cell>
          <cell r="F9">
            <v>3790637.92</v>
          </cell>
          <cell r="G9">
            <v>3570681.38</v>
          </cell>
          <cell r="H9">
            <v>3355188.43</v>
          </cell>
          <cell r="I9">
            <v>3745789.93</v>
          </cell>
          <cell r="J9">
            <v>4432508.1399999997</v>
          </cell>
          <cell r="K9">
            <v>4868275.3</v>
          </cell>
          <cell r="L9">
            <v>4838804.58</v>
          </cell>
          <cell r="M9">
            <v>5719741.7599999998</v>
          </cell>
          <cell r="N9">
            <v>6030452.6500000004</v>
          </cell>
        </row>
        <row r="10">
          <cell r="B10">
            <v>580087.59</v>
          </cell>
          <cell r="C10">
            <v>670312.98</v>
          </cell>
          <cell r="D10">
            <v>686666.71</v>
          </cell>
          <cell r="E10">
            <v>664567.49</v>
          </cell>
          <cell r="F10">
            <v>774059.95</v>
          </cell>
          <cell r="G10">
            <v>660165.24</v>
          </cell>
          <cell r="H10">
            <v>639472.68000000005</v>
          </cell>
          <cell r="I10">
            <v>743488.03</v>
          </cell>
          <cell r="J10">
            <v>847904.18</v>
          </cell>
          <cell r="K10">
            <v>715950.53</v>
          </cell>
          <cell r="L10">
            <v>644427.47</v>
          </cell>
          <cell r="M10">
            <v>747644.75</v>
          </cell>
          <cell r="N10">
            <v>606191.25</v>
          </cell>
        </row>
        <row r="11">
          <cell r="B11">
            <v>137520.26</v>
          </cell>
          <cell r="C11">
            <v>147608.18</v>
          </cell>
          <cell r="D11">
            <v>162188.60999999999</v>
          </cell>
          <cell r="E11">
            <v>174035.07</v>
          </cell>
          <cell r="F11">
            <v>185416.61</v>
          </cell>
          <cell r="G11">
            <v>258020.06</v>
          </cell>
          <cell r="H11">
            <v>321689.3</v>
          </cell>
          <cell r="I11">
            <v>488606.87</v>
          </cell>
          <cell r="J11">
            <v>465678.81</v>
          </cell>
          <cell r="K11">
            <v>549240.87</v>
          </cell>
          <cell r="L11">
            <v>571191.61</v>
          </cell>
          <cell r="M11">
            <v>394007.06</v>
          </cell>
          <cell r="N11">
            <v>484082.34</v>
          </cell>
        </row>
        <row r="12">
          <cell r="B12">
            <v>136956.26</v>
          </cell>
          <cell r="C12">
            <v>149200.68</v>
          </cell>
          <cell r="D12">
            <v>154033.20000000001</v>
          </cell>
          <cell r="E12">
            <v>142525.75</v>
          </cell>
          <cell r="F12">
            <v>159685</v>
          </cell>
          <cell r="G12">
            <v>208896</v>
          </cell>
          <cell r="H12">
            <v>217670</v>
          </cell>
          <cell r="I12">
            <v>458240</v>
          </cell>
          <cell r="J12">
            <v>407796.43</v>
          </cell>
          <cell r="K12">
            <v>445283.5</v>
          </cell>
          <cell r="L12">
            <v>457486.99</v>
          </cell>
          <cell r="M12">
            <v>360809.92</v>
          </cell>
          <cell r="N12">
            <v>360809.92</v>
          </cell>
        </row>
        <row r="20">
          <cell r="B20">
            <v>3969549.99</v>
          </cell>
          <cell r="C20">
            <v>4184662.41</v>
          </cell>
          <cell r="D20">
            <v>4280896</v>
          </cell>
          <cell r="E20">
            <v>6089945.0999999996</v>
          </cell>
          <cell r="F20">
            <v>6505484.8300000001</v>
          </cell>
          <cell r="G20">
            <v>6707872.96</v>
          </cell>
          <cell r="H20">
            <v>7238206.7000000002</v>
          </cell>
          <cell r="I20">
            <v>8038972.3899999997</v>
          </cell>
          <cell r="J20">
            <v>8162487.0800000001</v>
          </cell>
          <cell r="K20">
            <v>8771161.3200000003</v>
          </cell>
          <cell r="L20">
            <v>9039620.6799999997</v>
          </cell>
          <cell r="M20">
            <v>9585953.9100000001</v>
          </cell>
          <cell r="N20">
            <v>10455335.4</v>
          </cell>
        </row>
        <row r="21">
          <cell r="B21">
            <v>25416.23</v>
          </cell>
          <cell r="C21">
            <v>33533.89</v>
          </cell>
          <cell r="D21">
            <v>36053.72</v>
          </cell>
          <cell r="E21">
            <v>44191.49</v>
          </cell>
          <cell r="F21">
            <v>48516.74</v>
          </cell>
          <cell r="G21">
            <v>50609.440000000002</v>
          </cell>
          <cell r="H21">
            <v>63180.3</v>
          </cell>
          <cell r="I21">
            <v>123937.57</v>
          </cell>
          <cell r="J21">
            <v>86664.57</v>
          </cell>
          <cell r="K21">
            <v>93731.28</v>
          </cell>
          <cell r="L21">
            <v>120429.2</v>
          </cell>
          <cell r="M21">
            <v>107711.53</v>
          </cell>
          <cell r="N21">
            <v>111013.36</v>
          </cell>
        </row>
        <row r="22">
          <cell r="B22">
            <v>3994966.22</v>
          </cell>
          <cell r="C22">
            <v>4218196.3</v>
          </cell>
          <cell r="D22">
            <v>4316949.72</v>
          </cell>
          <cell r="E22">
            <v>6134136.5899999999</v>
          </cell>
          <cell r="F22">
            <v>6554001.5700000003</v>
          </cell>
          <cell r="G22">
            <v>6758482.4000000004</v>
          </cell>
          <cell r="H22">
            <v>7301387</v>
          </cell>
          <cell r="I22">
            <v>8162909.96</v>
          </cell>
          <cell r="J22">
            <v>8249151.6500000004</v>
          </cell>
          <cell r="K22">
            <v>8864892.5999999996</v>
          </cell>
          <cell r="L22">
            <v>9160049.8800000008</v>
          </cell>
          <cell r="M22">
            <v>9693665.4399999995</v>
          </cell>
          <cell r="N22">
            <v>10566348.76</v>
          </cell>
        </row>
        <row r="25">
          <cell r="B25">
            <v>10007.6</v>
          </cell>
          <cell r="C25">
            <v>10582.32</v>
          </cell>
          <cell r="D25">
            <v>11453.53</v>
          </cell>
          <cell r="E25">
            <v>12522.85</v>
          </cell>
          <cell r="F25">
            <v>13057.3</v>
          </cell>
          <cell r="G25">
            <v>14366.77</v>
          </cell>
          <cell r="H25">
            <v>15550.89</v>
          </cell>
          <cell r="I25">
            <v>16063.28</v>
          </cell>
          <cell r="J25">
            <v>17491.18</v>
          </cell>
          <cell r="K25">
            <v>19890.689999999999</v>
          </cell>
          <cell r="L25">
            <v>92856.68</v>
          </cell>
          <cell r="M25">
            <v>135595.97</v>
          </cell>
          <cell r="N25">
            <v>84847.61</v>
          </cell>
        </row>
        <row r="29">
          <cell r="B29">
            <v>24549</v>
          </cell>
          <cell r="C29">
            <v>26546.7</v>
          </cell>
          <cell r="D29">
            <v>41869.800000000003</v>
          </cell>
          <cell r="E29">
            <v>40971.1</v>
          </cell>
          <cell r="F29">
            <v>70639.16</v>
          </cell>
          <cell r="G29">
            <v>30256.94</v>
          </cell>
          <cell r="H29">
            <v>18647.18</v>
          </cell>
          <cell r="I29">
            <v>29923.16</v>
          </cell>
          <cell r="J29">
            <v>24948.1</v>
          </cell>
          <cell r="K29">
            <v>36272.65</v>
          </cell>
          <cell r="L29">
            <v>116973.62</v>
          </cell>
          <cell r="M29">
            <v>199854.01</v>
          </cell>
          <cell r="N29">
            <v>146750.01</v>
          </cell>
        </row>
        <row r="31">
          <cell r="B31">
            <v>29367.89</v>
          </cell>
          <cell r="C31">
            <v>37739.85</v>
          </cell>
          <cell r="D31">
            <v>42131.69</v>
          </cell>
          <cell r="E31">
            <v>47742.55</v>
          </cell>
          <cell r="F31">
            <v>100048.45</v>
          </cell>
          <cell r="G31">
            <v>94979.05</v>
          </cell>
          <cell r="H31">
            <v>50349.29</v>
          </cell>
          <cell r="I31">
            <v>37896.959999999999</v>
          </cell>
          <cell r="J31">
            <v>14638.22</v>
          </cell>
          <cell r="K31">
            <v>46034.89</v>
          </cell>
          <cell r="L31">
            <v>45280.68</v>
          </cell>
          <cell r="M31">
            <v>36012.43</v>
          </cell>
          <cell r="N31">
            <v>47000</v>
          </cell>
        </row>
        <row r="32">
          <cell r="B32">
            <v>4048883.11</v>
          </cell>
          <cell r="C32">
            <v>4282482.8499999996</v>
          </cell>
          <cell r="D32">
            <v>4400951.21</v>
          </cell>
          <cell r="E32">
            <v>6222850.2400000002</v>
          </cell>
          <cell r="F32">
            <v>6724689.1799999997</v>
          </cell>
          <cell r="G32">
            <v>6883718.3899999997</v>
          </cell>
          <cell r="H32">
            <v>7370383.4699999997</v>
          </cell>
          <cell r="I32">
            <v>8230730.0800000001</v>
          </cell>
          <cell r="J32">
            <v>8288737.9699999997</v>
          </cell>
          <cell r="K32">
            <v>8947200.1400000006</v>
          </cell>
          <cell r="L32">
            <v>9322304.1799999997</v>
          </cell>
          <cell r="M32">
            <v>9929531.8800000008</v>
          </cell>
          <cell r="N32">
            <v>10760098.77</v>
          </cell>
        </row>
      </sheetData>
      <sheetData sheetId="3">
        <row r="3">
          <cell r="B3">
            <v>87900.22</v>
          </cell>
          <cell r="C3">
            <v>89995.26</v>
          </cell>
          <cell r="D3">
            <v>91462.26</v>
          </cell>
          <cell r="E3">
            <v>99183.05</v>
          </cell>
          <cell r="F3">
            <v>106352.76</v>
          </cell>
          <cell r="G3">
            <v>112921.39</v>
          </cell>
          <cell r="H3">
            <v>124807.42</v>
          </cell>
          <cell r="I3">
            <v>142745.65</v>
          </cell>
          <cell r="J3">
            <v>153776.9</v>
          </cell>
          <cell r="K3">
            <v>161187.49</v>
          </cell>
          <cell r="L3">
            <v>177487.65</v>
          </cell>
          <cell r="M3">
            <v>182591.24</v>
          </cell>
          <cell r="N3">
            <v>209088.88</v>
          </cell>
        </row>
        <row r="12">
          <cell r="B12">
            <v>79125.05</v>
          </cell>
          <cell r="C12">
            <v>81886.98</v>
          </cell>
          <cell r="D12">
            <v>79958.320000000007</v>
          </cell>
          <cell r="E12">
            <v>86370.92</v>
          </cell>
          <cell r="F12">
            <v>90445.24</v>
          </cell>
          <cell r="G12">
            <v>95230.59</v>
          </cell>
          <cell r="H12">
            <v>111092.43</v>
          </cell>
          <cell r="I12">
            <v>134304.92000000001</v>
          </cell>
          <cell r="J12">
            <v>137986.97</v>
          </cell>
          <cell r="K12">
            <v>142940.01</v>
          </cell>
          <cell r="L12">
            <v>154256.28</v>
          </cell>
          <cell r="M12">
            <v>159500</v>
          </cell>
          <cell r="N12">
            <v>180000</v>
          </cell>
        </row>
        <row r="14">
          <cell r="B14">
            <v>3386.56</v>
          </cell>
          <cell r="C14">
            <v>4347.51</v>
          </cell>
          <cell r="D14">
            <v>4903.24</v>
          </cell>
          <cell r="E14">
            <v>4537.33</v>
          </cell>
          <cell r="F14">
            <v>8749.6</v>
          </cell>
          <cell r="G14">
            <v>9148.85</v>
          </cell>
          <cell r="H14">
            <v>9492.19</v>
          </cell>
          <cell r="I14">
            <v>7109.9</v>
          </cell>
          <cell r="J14">
            <v>9445.11</v>
          </cell>
          <cell r="K14">
            <v>12166.45</v>
          </cell>
          <cell r="L14">
            <v>8587.4500000000007</v>
          </cell>
          <cell r="M14">
            <v>11503.31</v>
          </cell>
          <cell r="N14">
            <v>11186.3</v>
          </cell>
        </row>
        <row r="25">
          <cell r="B25">
            <v>76248.11</v>
          </cell>
          <cell r="C25">
            <v>76302.42</v>
          </cell>
          <cell r="D25">
            <v>180796.24</v>
          </cell>
          <cell r="E25">
            <v>144127.34</v>
          </cell>
          <cell r="F25">
            <v>207697.78</v>
          </cell>
          <cell r="G25">
            <v>275851.86</v>
          </cell>
          <cell r="H25">
            <v>252001.86</v>
          </cell>
          <cell r="I25">
            <v>191145.47</v>
          </cell>
          <cell r="J25">
            <v>371338.6</v>
          </cell>
          <cell r="K25">
            <v>447586.13</v>
          </cell>
          <cell r="L25">
            <v>617034.53</v>
          </cell>
          <cell r="M25">
            <v>653215.76</v>
          </cell>
          <cell r="N25">
            <v>731222.48</v>
          </cell>
        </row>
        <row r="44">
          <cell r="B44">
            <v>525.47</v>
          </cell>
          <cell r="C44">
            <v>708.59</v>
          </cell>
          <cell r="D44">
            <v>1944.07</v>
          </cell>
          <cell r="E44">
            <v>4533.6499999999996</v>
          </cell>
          <cell r="F44">
            <v>2448.52</v>
          </cell>
          <cell r="G44">
            <v>3817.32</v>
          </cell>
          <cell r="H44">
            <v>1374</v>
          </cell>
          <cell r="I44">
            <v>3019.2</v>
          </cell>
          <cell r="J44">
            <v>3519.85</v>
          </cell>
          <cell r="K44">
            <v>2082.8200000000002</v>
          </cell>
          <cell r="L44">
            <v>6999.23</v>
          </cell>
          <cell r="M44">
            <v>5977.11</v>
          </cell>
          <cell r="N44">
            <v>10646.24</v>
          </cell>
        </row>
        <row r="49">
          <cell r="B49">
            <v>3225.76</v>
          </cell>
          <cell r="C49">
            <v>4011.18</v>
          </cell>
          <cell r="D49">
            <v>3624.24</v>
          </cell>
          <cell r="E49">
            <v>4135.05</v>
          </cell>
          <cell r="F49">
            <v>4298.0600000000004</v>
          </cell>
          <cell r="G49">
            <v>8526</v>
          </cell>
          <cell r="H49">
            <v>12113.77</v>
          </cell>
          <cell r="I49">
            <v>5212.24</v>
          </cell>
          <cell r="J49">
            <v>6505.58</v>
          </cell>
          <cell r="K49">
            <v>6592.02</v>
          </cell>
          <cell r="L49">
            <v>6708.31</v>
          </cell>
          <cell r="M49">
            <v>12870.32</v>
          </cell>
          <cell r="N49">
            <v>12167.36</v>
          </cell>
        </row>
        <row r="60">
          <cell r="B60">
            <v>48305.1</v>
          </cell>
          <cell r="C60">
            <v>52768.66</v>
          </cell>
          <cell r="D60">
            <v>68249.62</v>
          </cell>
          <cell r="E60">
            <v>92084.800000000003</v>
          </cell>
          <cell r="F60">
            <v>99016.57</v>
          </cell>
          <cell r="G60">
            <v>126787.65</v>
          </cell>
          <cell r="H60">
            <v>138894.70000000001</v>
          </cell>
          <cell r="I60">
            <v>122449.35</v>
          </cell>
          <cell r="J60">
            <v>297124.32</v>
          </cell>
          <cell r="K60">
            <v>370536.16</v>
          </cell>
          <cell r="L60">
            <v>514475.22</v>
          </cell>
          <cell r="M60">
            <v>512183.46</v>
          </cell>
          <cell r="N60">
            <v>512582.76</v>
          </cell>
        </row>
        <row r="61">
          <cell r="B61">
            <v>26124.52</v>
          </cell>
          <cell r="C61">
            <v>29199.79</v>
          </cell>
          <cell r="D61">
            <v>35007.870000000003</v>
          </cell>
          <cell r="E61">
            <v>45231.63</v>
          </cell>
          <cell r="F61">
            <v>43285.27</v>
          </cell>
          <cell r="G61">
            <v>52102.61</v>
          </cell>
          <cell r="H61">
            <v>67839.86</v>
          </cell>
          <cell r="I61">
            <v>29909.58</v>
          </cell>
          <cell r="J61">
            <v>117231.73</v>
          </cell>
          <cell r="K61">
            <v>159169.22</v>
          </cell>
          <cell r="L61">
            <v>242537.91</v>
          </cell>
          <cell r="M61">
            <v>252337.84</v>
          </cell>
          <cell r="N61">
            <v>251950.81</v>
          </cell>
        </row>
        <row r="65">
          <cell r="B65">
            <v>6054.63</v>
          </cell>
          <cell r="C65">
            <v>5814.94</v>
          </cell>
          <cell r="D65">
            <v>3361.02</v>
          </cell>
          <cell r="E65">
            <v>2709.27</v>
          </cell>
          <cell r="F65">
            <v>1836.84</v>
          </cell>
          <cell r="G65">
            <v>3975.87</v>
          </cell>
          <cell r="H65">
            <v>21.36</v>
          </cell>
          <cell r="I65">
            <v>35.9</v>
          </cell>
          <cell r="J65">
            <v>62421.99</v>
          </cell>
          <cell r="K65">
            <v>75.44</v>
          </cell>
          <cell r="L65">
            <v>741.31</v>
          </cell>
          <cell r="M65">
            <v>88.05</v>
          </cell>
          <cell r="N65">
            <v>45</v>
          </cell>
        </row>
        <row r="66">
          <cell r="B66">
            <v>14890.65</v>
          </cell>
          <cell r="C66">
            <v>16572.39</v>
          </cell>
          <cell r="D66">
            <v>29636.400000000001</v>
          </cell>
          <cell r="E66">
            <v>43774.48</v>
          </cell>
          <cell r="F66">
            <v>53524.63</v>
          </cell>
          <cell r="G66">
            <v>69760.86</v>
          </cell>
          <cell r="H66">
            <v>70713.649999999994</v>
          </cell>
          <cell r="I66">
            <v>92293.6</v>
          </cell>
          <cell r="J66">
            <v>116787.77</v>
          </cell>
          <cell r="K66">
            <v>210495.94</v>
          </cell>
          <cell r="L66">
            <v>269865.27</v>
          </cell>
          <cell r="M66">
            <v>258853.05</v>
          </cell>
          <cell r="N66">
            <v>259117.56</v>
          </cell>
        </row>
        <row r="74">
          <cell r="B74">
            <v>3078.35</v>
          </cell>
          <cell r="C74">
            <v>3186.36</v>
          </cell>
          <cell r="D74">
            <v>4036.82</v>
          </cell>
          <cell r="E74">
            <v>5228.6499999999996</v>
          </cell>
          <cell r="F74">
            <v>5373.08</v>
          </cell>
          <cell r="G74">
            <v>7294.96</v>
          </cell>
          <cell r="H74">
            <v>9221.6</v>
          </cell>
          <cell r="I74">
            <v>6029.43</v>
          </cell>
          <cell r="J74">
            <v>9995.41</v>
          </cell>
          <cell r="K74">
            <v>7791.68</v>
          </cell>
          <cell r="L74">
            <v>7157.09</v>
          </cell>
          <cell r="M74">
            <v>6397.83</v>
          </cell>
          <cell r="N74">
            <v>8123.9</v>
          </cell>
        </row>
        <row r="79">
          <cell r="B79">
            <v>18827.240000000002</v>
          </cell>
          <cell r="C79">
            <v>13609.48</v>
          </cell>
          <cell r="D79">
            <v>98628.75</v>
          </cell>
          <cell r="E79">
            <v>32729.67</v>
          </cell>
          <cell r="F79">
            <v>87636.37</v>
          </cell>
          <cell r="G79">
            <v>123786.79</v>
          </cell>
          <cell r="H79">
            <v>81044.789999999994</v>
          </cell>
          <cell r="I79">
            <v>46793.66</v>
          </cell>
          <cell r="J79">
            <v>40831.910000000003</v>
          </cell>
          <cell r="K79">
            <v>1161.19</v>
          </cell>
          <cell r="L79">
            <v>19744.18</v>
          </cell>
          <cell r="M79">
            <v>15701.37</v>
          </cell>
          <cell r="N79">
            <v>108746.25</v>
          </cell>
        </row>
        <row r="83">
          <cell r="B83">
            <v>16100</v>
          </cell>
          <cell r="C83">
            <v>7090</v>
          </cell>
          <cell r="D83">
            <v>25700.04</v>
          </cell>
          <cell r="E83">
            <v>26422.18</v>
          </cell>
          <cell r="F83">
            <v>90175.35</v>
          </cell>
          <cell r="G83">
            <v>109466.29</v>
          </cell>
          <cell r="H83">
            <v>75721.279999999999</v>
          </cell>
          <cell r="I83">
            <v>36042.720000000001</v>
          </cell>
          <cell r="J83">
            <v>33488.14</v>
          </cell>
          <cell r="K83">
            <v>3489.34</v>
          </cell>
          <cell r="L83">
            <v>11958.48</v>
          </cell>
          <cell r="M83">
            <v>3310</v>
          </cell>
          <cell r="N83">
            <v>4500.0200000000004</v>
          </cell>
        </row>
        <row r="87">
          <cell r="B87">
            <v>168844.47</v>
          </cell>
          <cell r="C87">
            <v>172085.06</v>
          </cell>
          <cell r="D87">
            <v>278866.34000000003</v>
          </cell>
          <cell r="E87">
            <v>249471.82</v>
          </cell>
          <cell r="F87">
            <v>325115.99</v>
          </cell>
          <cell r="G87">
            <v>399522.74</v>
          </cell>
          <cell r="H87">
            <v>387744.11</v>
          </cell>
          <cell r="I87">
            <v>342948.78</v>
          </cell>
          <cell r="J87">
            <v>538140.23</v>
          </cell>
          <cell r="K87">
            <v>624757.25</v>
          </cell>
          <cell r="L87">
            <v>807180.34</v>
          </cell>
          <cell r="M87">
            <v>851881.22</v>
          </cell>
          <cell r="N87">
            <v>956245.31</v>
          </cell>
        </row>
        <row r="108">
          <cell r="B108">
            <v>3511291.32</v>
          </cell>
          <cell r="C108">
            <v>3707699.65</v>
          </cell>
          <cell r="D108">
            <v>3737656.97</v>
          </cell>
          <cell r="E108">
            <v>5678823.2000000002</v>
          </cell>
          <cell r="F108">
            <v>5872604.6299999999</v>
          </cell>
          <cell r="G108">
            <v>6064945.3799999999</v>
          </cell>
          <cell r="H108">
            <v>6326548.7699999996</v>
          </cell>
          <cell r="I108">
            <v>6184635.3300000001</v>
          </cell>
          <cell r="J108">
            <v>6645468.4000000004</v>
          </cell>
          <cell r="K108">
            <v>7199701.1299999999</v>
          </cell>
          <cell r="L108">
            <v>7462492.8700000001</v>
          </cell>
          <cell r="M108">
            <v>8407558.0099999998</v>
          </cell>
          <cell r="N108">
            <v>9038648.1600000001</v>
          </cell>
        </row>
        <row r="148">
          <cell r="B148">
            <v>11008.1</v>
          </cell>
          <cell r="C148">
            <v>11939.76</v>
          </cell>
          <cell r="D148">
            <v>12504.1</v>
          </cell>
          <cell r="E148">
            <v>17768.59</v>
          </cell>
          <cell r="F148">
            <v>17516.169999999998</v>
          </cell>
          <cell r="G148">
            <v>23828.76</v>
          </cell>
          <cell r="H148">
            <v>24681.05</v>
          </cell>
          <cell r="I148">
            <v>148803.93</v>
          </cell>
          <cell r="J148">
            <v>185136.11</v>
          </cell>
          <cell r="K148">
            <v>109385.35</v>
          </cell>
          <cell r="L148">
            <v>140863.34</v>
          </cell>
          <cell r="M148">
            <v>159512</v>
          </cell>
          <cell r="N148">
            <v>192833</v>
          </cell>
        </row>
        <row r="156">
          <cell r="B156">
            <v>30999.919999999998</v>
          </cell>
          <cell r="C156">
            <v>41921.53</v>
          </cell>
          <cell r="D156">
            <v>47271.94</v>
          </cell>
          <cell r="E156">
            <v>60011.39</v>
          </cell>
          <cell r="F156">
            <v>82136.179999999993</v>
          </cell>
          <cell r="G156">
            <v>54667.46</v>
          </cell>
          <cell r="H156">
            <v>45141.77</v>
          </cell>
          <cell r="I156">
            <v>249845.55</v>
          </cell>
          <cell r="J156">
            <v>261704.42</v>
          </cell>
          <cell r="K156">
            <v>142058.23000000001</v>
          </cell>
          <cell r="L156">
            <v>191309.67</v>
          </cell>
          <cell r="M156">
            <v>240977.05</v>
          </cell>
          <cell r="N156">
            <v>298229.02</v>
          </cell>
        </row>
        <row r="157">
          <cell r="B157">
            <v>3711135.71</v>
          </cell>
          <cell r="C157">
            <v>3921706.24</v>
          </cell>
          <cell r="D157">
            <v>4063795.25</v>
          </cell>
          <cell r="E157">
            <v>5988306.4100000001</v>
          </cell>
          <cell r="F157">
            <v>6279856.7999999998</v>
          </cell>
          <cell r="G157">
            <v>6519135.5800000001</v>
          </cell>
          <cell r="H157">
            <v>6759434.6500000004</v>
          </cell>
          <cell r="I157">
            <v>6777429.6600000001</v>
          </cell>
          <cell r="J157">
            <v>7445313.0499999998</v>
          </cell>
          <cell r="K157">
            <v>7966516.6100000003</v>
          </cell>
          <cell r="L157">
            <v>8460982.8800000008</v>
          </cell>
          <cell r="M157">
            <v>9500416.2799999993</v>
          </cell>
          <cell r="N157">
            <v>10293122.49</v>
          </cell>
        </row>
      </sheetData>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n.ridzzz333@gmail.com" refreshedDate="46163.870891203704" createdVersion="7" refreshedVersion="7" minRefreshableVersion="3" recordCount="14" xr:uid="{D523AB8C-38E3-4EA6-AEE5-D9602C129720}">
  <cacheSource type="worksheet">
    <worksheetSource name="Table2"/>
  </cacheSource>
  <cacheFields count="9">
    <cacheField name="Year" numFmtId="0">
      <sharedItems count="14">
        <s v="2013-14"/>
        <s v="2014-15"/>
        <s v="2015-16"/>
        <s v="2016-17"/>
        <s v="2017-18"/>
        <s v="2018-19"/>
        <s v="2019-20"/>
        <s v="2020-21"/>
        <s v="2021-22"/>
        <s v="2022-23"/>
        <s v="2023-24"/>
        <s v="RE 2024-25"/>
        <s v="BE 2025-26"/>
        <s v="Total "/>
      </sharedItems>
    </cacheField>
    <cacheField name="Revenue Receipts (₹Cr)" numFmtId="4">
      <sharedItems containsSemiMixedTypes="0" containsString="0" containsNumber="1" minValue="1217798.79" maxValue="28468060.09" count="14">
        <n v="1217798.79"/>
        <n v="1328908.96"/>
        <n v="1436160.22"/>
        <n v="1615987.98"/>
        <n v="1691143.1"/>
        <n v="1806462.91"/>
        <n v="1948083.53"/>
        <n v="1864513.47"/>
        <n v="2436421.48"/>
        <n v="2713267.2"/>
        <n v="3088174.64"/>
        <n v="3485869.29"/>
        <n v="3835268.52"/>
        <n v="28468060.09"/>
      </sharedItems>
    </cacheField>
    <cacheField name="Revenue Expenditure (₹Cr)" numFmtId="4">
      <sharedItems containsSemiMixedTypes="0" containsString="0" containsNumber="1" minValue="1575096.57" maxValue="36876886.170000002" count="14">
        <n v="1575096.57"/>
        <n v="1695136.79"/>
        <n v="1779528.81"/>
        <n v="1933018.06"/>
        <n v="2140084.5299999998"/>
        <n v="2261570.81"/>
        <n v="2615319.67"/>
        <n v="3314851.92"/>
        <n v="3468188.81"/>
        <n v="3783698.51"/>
        <n v="3854082.21"/>
        <n v="4096607.07"/>
        <n v="4359702.41"/>
        <n v="36876886.170000002"/>
      </sharedItems>
    </cacheField>
    <cacheField name="Revenue Deficit (₹Cr)" numFmtId="4">
      <sharedItems containsSemiMixedTypes="0" containsString="0" containsNumber="1" minValue="317030.08000000007" maxValue="8408826.0800000001" count="14">
        <n v="357297.78"/>
        <n v="366227.83000000007"/>
        <n v="343368.59000000008"/>
        <n v="317030.08000000007"/>
        <n v="448941.4299999997"/>
        <n v="455107.90000000014"/>
        <n v="667236.1399999999"/>
        <n v="1450338.45"/>
        <n v="1031767.3300000001"/>
        <n v="1070431.3099999996"/>
        <n v="765907.56999999983"/>
        <n v="610737.7799999998"/>
        <n v="524433.89000000013"/>
        <n v="8408826.0800000001"/>
      </sharedItems>
    </cacheField>
    <cacheField name="Capital Receipts (₹Cr)" numFmtId="4">
      <sharedItems containsSemiMixedTypes="0" containsString="0" containsNumber="1" minValue="4048883.11" maxValue="95412561.469999984" count="14">
        <n v="4048883.11"/>
        <n v="4282482.8499999996"/>
        <n v="4400951.21"/>
        <n v="6222850.2400000002"/>
        <n v="6724689.1799999997"/>
        <n v="6883718.3899999997"/>
        <n v="7370383.4699999997"/>
        <n v="8230730.0800000001"/>
        <n v="8288737.9699999997"/>
        <n v="8947200.1400000006"/>
        <n v="9322304.1799999997"/>
        <n v="9929531.8800000008"/>
        <n v="10760098.77"/>
        <n v="95412561.469999984"/>
      </sharedItems>
    </cacheField>
    <cacheField name="Capital Expenditure (₹Cr)" numFmtId="4">
      <sharedItems containsSemiMixedTypes="0" containsString="0" containsNumber="1" minValue="3711135.71" maxValue="87687151.609999985" count="14">
        <n v="3711135.71"/>
        <n v="3921706.24"/>
        <n v="4063795.25"/>
        <n v="5988306.4100000001"/>
        <n v="6279856.7999999998"/>
        <n v="6519135.5800000001"/>
        <n v="6759434.6500000004"/>
        <n v="6777429.6600000001"/>
        <n v="7445313.0499999998"/>
        <n v="7966516.6100000003"/>
        <n v="8460982.8800000008"/>
        <n v="9500416.2799999993"/>
        <n v="10293122.49"/>
        <n v="87687151.609999985"/>
      </sharedItems>
    </cacheField>
    <cacheField name="Capital Surplus (₹Cr)" numFmtId="4">
      <sharedItems containsSemiMixedTypes="0" containsString="0" containsNumber="1" minValue="234543.83000000007" maxValue="7725409.8599999985"/>
    </cacheField>
    <cacheField name="Rev Growth %" numFmtId="10">
      <sharedItems containsMixedTypes="1" containsNumber="1" minValue="-4.2898601991671302E-2" maxValue="0.30673310716280316"/>
    </cacheField>
    <cacheField name="Trend" numFmtId="0">
      <sharedItems/>
    </cacheField>
  </cacheFields>
  <extLst>
    <ext xmlns:x14="http://schemas.microsoft.com/office/spreadsheetml/2009/9/main" uri="{725AE2AE-9491-48be-B2B4-4EB974FC3084}">
      <x14:pivotCacheDefinition pivotCacheId="2039329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n.ridzzz333@gmail.com" refreshedDate="46163.887344212962" createdVersion="7" refreshedVersion="7" minRefreshableVersion="3" recordCount="13" xr:uid="{09CB6855-AD32-466F-89B2-6773F553C451}">
  <cacheSource type="worksheet">
    <worksheetSource ref="A2:G15" sheet="Analytics and main data"/>
  </cacheSource>
  <cacheFields count="7">
    <cacheField name="Year" numFmtId="0">
      <sharedItems count="13">
        <s v="2013-14"/>
        <s v="2014-15"/>
        <s v="2015-16"/>
        <s v="2016-17"/>
        <s v="2017-18"/>
        <s v="2018-19"/>
        <s v="2019-20"/>
        <s v="2020-21"/>
        <s v="2021-22"/>
        <s v="2022-23"/>
        <s v="2023-24"/>
        <s v="RE 2024-25"/>
        <s v="BE 2025-26"/>
      </sharedItems>
    </cacheField>
    <cacheField name="Revenue Receipts (₹Cr)" numFmtId="4">
      <sharedItems containsSemiMixedTypes="0" containsString="0" containsNumber="1" minValue="1217798.79" maxValue="3835268.52" count="13">
        <n v="1217798.79"/>
        <n v="1328908.96"/>
        <n v="1436160.22"/>
        <n v="1615987.98"/>
        <n v="1691143.1"/>
        <n v="1806462.91"/>
        <n v="1948083.53"/>
        <n v="1864513.47"/>
        <n v="2436421.48"/>
        <n v="2713267.2"/>
        <n v="3088174.64"/>
        <n v="3485869.29"/>
        <n v="3835268.52"/>
      </sharedItems>
    </cacheField>
    <cacheField name="Revenue Expenditure (₹Cr)" numFmtId="4">
      <sharedItems containsSemiMixedTypes="0" containsString="0" containsNumber="1" minValue="1575096.57" maxValue="4359702.41"/>
    </cacheField>
    <cacheField name="Revenue Deficit (₹Cr)" numFmtId="4">
      <sharedItems containsSemiMixedTypes="0" containsString="0" containsNumber="1" minValue="-1450338.45" maxValue="-317030.08000000007" count="13">
        <n v="-357297.78"/>
        <n v="-366227.83000000007"/>
        <n v="-343368.59000000008"/>
        <n v="-317030.08000000007"/>
        <n v="-448941.4299999997"/>
        <n v="-455107.90000000014"/>
        <n v="-667236.1399999999"/>
        <n v="-1450338.45"/>
        <n v="-1031767.3300000001"/>
        <n v="-1070431.3099999996"/>
        <n v="-765907.56999999983"/>
        <n v="-610737.7799999998"/>
        <n v="-524433.89000000013"/>
      </sharedItems>
    </cacheField>
    <cacheField name="Capital Receipts (₹Cr)" numFmtId="4">
      <sharedItems containsSemiMixedTypes="0" containsString="0" containsNumber="1" minValue="4048883.11" maxValue="10760098.77"/>
    </cacheField>
    <cacheField name="Capital Expenditure (₹Cr)" numFmtId="4">
      <sharedItems containsSemiMixedTypes="0" containsString="0" containsNumber="1" minValue="3711135.71" maxValue="10293122.49"/>
    </cacheField>
    <cacheField name="Capital Surplus (₹Cr)" numFmtId="4">
      <sharedItems containsSemiMixedTypes="0" containsString="0" containsNumber="1" minValue="234543.83000000007" maxValue="1453300.42"/>
    </cacheField>
  </cacheFields>
  <extLst>
    <ext xmlns:x14="http://schemas.microsoft.com/office/spreadsheetml/2009/9/main" uri="{725AE2AE-9491-48be-B2B4-4EB974FC3084}">
      <x14:pivotCacheDefinition pivotCacheId="155736807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n.ridzzz333@gmail.com" refreshedDate="46163.893943055555" createdVersion="7" refreshedVersion="7" minRefreshableVersion="3" recordCount="17" xr:uid="{79E4AFC3-B517-4A97-8772-D38396463A21}">
  <cacheSource type="worksheet">
    <worksheetSource ref="A2:Q19" sheet="Sub Components"/>
  </cacheSource>
  <cacheFields count="17">
    <cacheField name="Statement" numFmtId="0">
      <sharedItems/>
    </cacheField>
    <cacheField name="Category" numFmtId="0">
      <sharedItems count="1">
        <s v="Revenue Receipts"/>
      </sharedItems>
    </cacheField>
    <cacheField name="Sub-Category" numFmtId="0">
      <sharedItems count="7">
        <s v="TOTAL"/>
        <s v="Tax Revenue"/>
        <s v="Tax Revenue - Gross"/>
        <s v="Tax Revenue - GST"/>
        <s v="Tax Revenue - Income &amp; Expenditure"/>
        <s v="Tax Revenue - Property &amp; Capital"/>
        <s v="Tax Revenue - Commodities &amp; Services"/>
      </sharedItems>
    </cacheField>
    <cacheField name="Line Item" numFmtId="0">
      <sharedItems count="17">
        <s v="Total Revenue Receipts"/>
        <s v="Tax Revenue of the Central Govt"/>
        <s v="Gross Tax Revenue"/>
        <s v="States' Share (Devolution)"/>
        <s v="GST (Total)"/>
        <s v="CGST"/>
        <s v="IGST"/>
        <s v="GST Compensation Cess"/>
        <s v="Taxes on Income &amp; Expenditure (Total)"/>
        <s v="Corporation Tax"/>
        <s v="Income Tax (excl. Corp Tax)"/>
        <s v="Taxes on Property &amp; Capital Transactions"/>
        <s v="Securities Transaction Tax"/>
        <s v="Taxes on Commodities &amp; Services (excl GST)"/>
        <s v="Customs"/>
        <s v="Union Excise Duties"/>
        <s v="Service Tax"/>
      </sharedItems>
    </cacheField>
    <cacheField name="2013-14" numFmtId="166">
      <sharedItems containsSemiMixedTypes="0" containsString="0" containsNumber="1" minValue="0" maxValue="1217798.79" count="14">
        <n v="1217798.79"/>
        <n v="820765.89"/>
        <n v="1138995.47"/>
        <n v="318229.58"/>
        <n v="0"/>
        <n v="632517.30000000005"/>
        <n v="394677.85"/>
        <n v="237817.23"/>
        <n v="6025.37"/>
        <n v="5017.5"/>
        <n v="497322.97"/>
        <n v="172085.42"/>
        <n v="169455.14"/>
        <n v="154778.12"/>
      </sharedItems>
    </cacheField>
    <cacheField name="2014-15" numFmtId="166">
      <sharedItems containsSemiMixedTypes="0" containsString="0" containsNumber="1" minValue="0" maxValue="1328908.96" count="14">
        <n v="1328908.96"/>
        <n v="907327.3"/>
        <n v="1245135.75"/>
        <n v="337808.45"/>
        <n v="0"/>
        <n v="687259.5"/>
        <n v="428924.74"/>
        <n v="258325.65"/>
        <n v="8484.36"/>
        <n v="7398.15"/>
        <n v="546188.14"/>
        <n v="188016.19"/>
        <n v="188127.6"/>
        <n v="167969.04"/>
      </sharedItems>
    </cacheField>
    <cacheField name="2015-16" numFmtId="166">
      <sharedItems containsSemiMixedTypes="0" containsString="0" containsNumber="1" minValue="0" maxValue="1455891.09" count="14">
        <n v="1436160.22"/>
        <n v="949698.13"/>
        <n v="1455891.09"/>
        <n v="506192.96"/>
        <n v="0"/>
        <n v="733515.33"/>
        <n v="453228.33"/>
        <n v="280322.5"/>
        <n v="8429.3799999999992"/>
        <n v="7350.12"/>
        <n v="710068.12"/>
        <n v="210338"/>
        <n v="287148.55"/>
        <n v="211414.25"/>
      </sharedItems>
    </cacheField>
    <cacheField name="2016-17" numFmtId="166">
      <sharedItems containsSemiMixedTypes="0" containsString="0" containsNumber="1" minValue="0" maxValue="1715968.04" count="14">
        <n v="1615987.98"/>
        <n v="1107967.73"/>
        <n v="1715968.04"/>
        <n v="608000.31000000006"/>
        <n v="0"/>
        <n v="840530.12"/>
        <n v="484923.86"/>
        <n v="340504.5"/>
        <n v="9183.26"/>
        <n v="8998.1200000000008"/>
        <n v="862109.13"/>
        <n v="225370.34"/>
        <n v="380495.43"/>
        <n v="254498.74"/>
      </sharedItems>
    </cacheField>
    <cacheField name="2017-18" numFmtId="166">
      <sharedItems containsSemiMixedTypes="0" containsString="0" containsNumber="1" minValue="11881.4" maxValue="1919183.53" count="17">
        <n v="1691143.1"/>
        <n v="1246178.24"/>
        <n v="1919183.53"/>
        <n v="673005.29"/>
        <n v="444196.53"/>
        <n v="203261.4"/>
        <n v="176688.44"/>
        <n v="62611.59"/>
        <n v="990092.49"/>
        <n v="571201.87"/>
        <n v="408091.43"/>
        <n v="11944.83"/>
        <n v="11881.4"/>
        <n v="469864.1"/>
        <n v="129029.92"/>
        <n v="258635.93"/>
        <n v="81228.070000000007"/>
      </sharedItems>
    </cacheField>
    <cacheField name="2018-19" numFmtId="166">
      <sharedItems containsSemiMixedTypes="0" containsString="0" containsNumber="1" minValue="6903.62" maxValue="2080465.43" count="17">
        <n v="1806462.91"/>
        <n v="1319011.28"/>
        <n v="2080465.43"/>
        <n v="761454.15"/>
        <n v="584337.5"/>
        <n v="457534.01"/>
        <n v="28944.58"/>
        <n v="95080.71"/>
        <n v="1125046.98"/>
        <n v="663571.62"/>
        <n v="461487.51"/>
        <n v="11568.36"/>
        <n v="11527.5"/>
        <n v="356698.37"/>
        <n v="117812.85"/>
        <n v="230992.59"/>
        <n v="6903.62"/>
      </sharedItems>
    </cacheField>
    <cacheField name="2019-20" numFmtId="166">
      <sharedItems containsSemiMixedTypes="0" containsString="0" containsNumber="1" minValue="6029.11" maxValue="2010059.33" count="17">
        <n v="1948083.53"/>
        <n v="1359382.28"/>
        <n v="2010059.33"/>
        <n v="650677.05000000005"/>
        <n v="601783.88"/>
        <n v="494070.6"/>
        <n v="9125.2099999999991"/>
        <n v="95553.09"/>
        <n v="1037155.03"/>
        <n v="556875.55000000005"/>
        <n v="480348.14"/>
        <n v="12394.04"/>
        <n v="12374.23"/>
        <n v="355926.17"/>
        <n v="109282.54"/>
        <n v="239452.43"/>
        <n v="6029.11"/>
      </sharedItems>
    </cacheField>
    <cacheField name="2020-21" numFmtId="166">
      <sharedItems containsSemiMixedTypes="0" containsString="0" containsNumber="1" minValue="1614.84" maxValue="2027103.84" count="17">
        <n v="1864513.47"/>
        <n v="1432107.08"/>
        <n v="2027103.84"/>
        <n v="594996.76"/>
        <n v="551541.51"/>
        <n v="456333.97"/>
        <n v="7251.43"/>
        <n v="85191.91"/>
        <n v="927935.69"/>
        <n v="457718.97"/>
        <n v="470391.24"/>
        <n v="16938.84"/>
        <n v="16926.990000000002"/>
        <n v="528115.66"/>
        <n v="134750.39000000001"/>
        <n v="389667.08"/>
        <n v="1614.84"/>
      </sharedItems>
    </cacheField>
    <cacheField name="2021-22" numFmtId="166">
      <sharedItems containsSemiMixedTypes="0" containsString="0" containsNumber="1" minValue="1011.82" maxValue="2709315.08" count="17">
        <n v="2436421.48"/>
        <n v="1810923.51"/>
        <n v="2709315.08"/>
        <n v="898391.57"/>
        <n v="702412.82"/>
        <n v="591226.14"/>
        <n v="2119.08"/>
        <n v="104768.66"/>
        <n v="1385089.52"/>
        <n v="712037.33"/>
        <n v="673100.48"/>
        <n v="23203.82"/>
        <n v="23191.03"/>
        <n v="595383.93000000005"/>
        <n v="199728.3"/>
        <n v="390808.07"/>
        <n v="1011.82"/>
      </sharedItems>
    </cacheField>
    <cacheField name="2022-23" numFmtId="166">
      <sharedItems containsSemiMixedTypes="0" containsString="0" containsNumber="1" minValue="430.77" maxValue="3054191.64" count="17">
        <n v="2713267.2"/>
        <n v="2105785.8199999998"/>
        <n v="3054191.64"/>
        <n v="948405.82"/>
        <n v="853900.57"/>
        <n v="718521.75"/>
        <n v="4748.29"/>
        <n v="125862.41"/>
        <n v="1634008.03"/>
        <n v="825833.64"/>
        <n v="808221.32"/>
        <n v="25076.35"/>
        <n v="25085.37"/>
        <n v="537263.52"/>
        <n v="213372.09"/>
        <n v="319000.11"/>
        <n v="430.77"/>
      </sharedItems>
    </cacheField>
    <cacheField name="2023-24" numFmtId="166">
      <sharedItems containsSemiMixedTypes="0" containsString="0" containsNumber="1" minValue="-4850.43" maxValue="3465518.58" count="17">
        <n v="3088174.64"/>
        <n v="2336024.87"/>
        <n v="3465518.58"/>
        <n v="1129493.71"/>
        <n v="962704.98"/>
        <n v="820622.09"/>
        <n v="-4850.43"/>
        <n v="141436.16"/>
        <n v="1922033.48"/>
        <n v="911055.01"/>
        <n v="1010947.77"/>
        <n v="33785.519999999997"/>
        <n v="33777.78"/>
        <n v="543249.51"/>
        <n v="233118.97"/>
        <n v="305362.18"/>
        <n v="424.96"/>
      </sharedItems>
    </cacheField>
    <cacheField name="RE 2024-25" numFmtId="166">
      <sharedItems containsSemiMixedTypes="0" containsString="0" containsNumber="1" minValue="0" maxValue="3853455.01" count="16">
        <n v="3485869.29"/>
        <n v="2566569.5699999998"/>
        <n v="3853455.01"/>
        <n v="1286885.44"/>
        <n v="1066839"/>
        <n v="908459"/>
        <n v="0"/>
        <n v="153440"/>
        <n v="2182000"/>
        <n v="980000"/>
        <n v="1199300"/>
        <n v="55000"/>
        <n v="545100"/>
        <n v="235000"/>
        <n v="305000"/>
        <n v="100"/>
      </sharedItems>
    </cacheField>
    <cacheField name="BE 2025-26" numFmtId="166">
      <sharedItems containsSemiMixedTypes="0" containsString="0" containsNumber="1" minValue="0" maxValue="4270233" count="16">
        <n v="3835268.52"/>
        <n v="2847788.89"/>
        <n v="4270233"/>
        <n v="1422444.11"/>
        <n v="1183355"/>
        <n v="1010890"/>
        <n v="0"/>
        <n v="167110"/>
        <n v="2442000"/>
        <n v="1082000"/>
        <n v="1357000"/>
        <n v="78000"/>
        <n v="562100"/>
        <n v="240000"/>
        <n v="317000"/>
        <n v="100"/>
      </sharedItems>
    </cacheField>
  </cacheFields>
  <extLst>
    <ext xmlns:x14="http://schemas.microsoft.com/office/spreadsheetml/2009/9/main" uri="{725AE2AE-9491-48be-B2B4-4EB974FC3084}">
      <x14:pivotCacheDefinition pivotCacheId="182058598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n.ridzzz333@gmail.com" refreshedDate="46166.50481770833" createdVersion="7" refreshedVersion="7" minRefreshableVersion="3" recordCount="74" xr:uid="{6510EBE7-44C6-41A8-AC2A-2DE304EA5323}">
  <cacheSource type="worksheet">
    <worksheetSource name="Table6"/>
  </cacheSource>
  <cacheFields count="17">
    <cacheField name="Statement" numFmtId="0">
      <sharedItems count="4">
        <s v="Revenue Receipts"/>
        <s v="Revenue Expenditure"/>
        <s v="Capital Receipts"/>
        <s v="Capital Expenditure"/>
      </sharedItems>
    </cacheField>
    <cacheField name="Category" numFmtId="0">
      <sharedItems count="4">
        <s v="Revenue Receipts"/>
        <s v="Revenue Expenditure"/>
        <s v="Capital Receipts"/>
        <s v="Capital Expenditure"/>
      </sharedItems>
    </cacheField>
    <cacheField name="Sub-Category" numFmtId="0">
      <sharedItems count="24">
        <s v="TOTAL"/>
        <s v="Tax Revenue"/>
        <s v="Tax Revenue - Gross"/>
        <s v="Tax Revenue - GST"/>
        <s v="Tax Revenue - Income &amp; Expenditure"/>
        <s v="Tax Revenue - Property &amp; Capital"/>
        <s v="Tax Revenue - Commodities &amp; Services"/>
        <s v="Non-Tax Revenue"/>
        <s v="Non-Tax Revenue - Fiscal Services"/>
        <s v="Non-Tax Revenue - Interest &amp; Dividends"/>
        <s v="Non-Tax Revenue - Other"/>
        <s v="Grants-in-Aid"/>
        <s v="General Services"/>
        <s v="Defence"/>
        <s v="Public Debt"/>
        <s v="Public Debt - Internal"/>
        <s v="Public Debt - External"/>
        <s v="Recoveries of Loans"/>
        <s v="Misc Capital Receipts"/>
        <s v="Outside Revenue Account"/>
        <s v="Social Services"/>
        <s v="Economic Services"/>
        <s v="Public Debt Repayment"/>
        <s v="Loans &amp; Advances"/>
      </sharedItems>
    </cacheField>
    <cacheField name="Line Item" numFmtId="0">
      <sharedItems count="74">
        <s v="Total Revenue Receipts"/>
        <s v="Tax Revenue of the Central Govt"/>
        <s v="Gross Tax Revenue"/>
        <s v="States' Share (Devolution)"/>
        <s v="GST (Total)"/>
        <s v="CGST"/>
        <s v="IGST"/>
        <s v="GST Compensation Cess"/>
        <s v="Taxes on Income &amp; Expenditure (Total)"/>
        <s v="Corporation Tax"/>
        <s v="Income Tax (excl. Corp Tax)"/>
        <s v="Taxes on Property &amp; Capital Transactions"/>
        <s v="Securities Transaction Tax"/>
        <s v="Taxes on Commodities &amp; Services (excl GST)"/>
        <s v="Customs"/>
        <s v="Union Excise Duties"/>
        <s v="Service Tax"/>
        <s v="Total Non-Tax Revenue"/>
        <s v="Fiscal Services"/>
        <s v="Interest Receipts, Dividends &amp; Profits"/>
        <s v="Interest Receipts"/>
        <s v="Dividends and Profits"/>
        <s v="Other Non-Tax Revenue"/>
        <s v="NTR: General Services"/>
        <s v="NTR: Social &amp; Community Services"/>
        <s v="NTR: Economic Services"/>
        <s v="NTR: Postal Receipts"/>
        <s v="NTR: Other Communication Services"/>
        <s v="Grants-in-Aid &amp; Contributions"/>
        <s v="Total Revenue Expenditure"/>
        <s v="General Services (Total)"/>
        <s v="Organs of State"/>
        <s v="Tax Collection"/>
        <s v="Interest Payment &amp; Servicing of Debt"/>
        <s v="Interest Payments"/>
        <s v="Administrative Services"/>
        <s v="Police"/>
        <s v="Pensions &amp; Misc General Services"/>
        <s v="Pensions &amp; Retirement Benefits"/>
        <s v="Defence Services - Revenue (Total)"/>
        <s v="Defence - Army"/>
        <s v="Defence - Navy"/>
        <s v="Defence - Air Force"/>
        <s v="Defence - R&amp;D"/>
        <s v="Total Capital Account Receipts"/>
        <s v="Total Public Debt"/>
        <s v="Internal Debt of Central Govt"/>
        <s v="Market Loans"/>
        <s v="14 Days Treasury Bills"/>
        <s v="91 Days Treasury Bills"/>
        <s v="182 Days Treasury Bills"/>
        <s v="364 Days Treasury Bills"/>
        <s v="External Debt"/>
        <s v="Total Recoveries of Loans &amp; Advances"/>
        <s v="Recoveries from State Governments"/>
        <s v="Miscellaneous Capital Receipts"/>
        <s v="Total Capital Expenditure"/>
        <s v="Cap Exp Outside Revenue Account"/>
        <s v="Capital Acct - General Services"/>
        <s v="Capital - Defence Services"/>
        <s v="Capital Acct - Social Services"/>
        <s v="Capital Acct - Economic Services"/>
        <s v="Capital - Energy"/>
        <s v="Capital - Industry &amp; Minerals"/>
        <s v="Capital - Transport (Total)"/>
        <s v="Capital - Indian Railways (Commercial)"/>
        <s v="Capital - Civil Aviation"/>
        <s v="Capital - Roads &amp; Bridges"/>
        <s v="Capital - Science, Tech &amp; Environment"/>
        <s v="Capital - General Economic Services"/>
        <s v="Investments in Financial Institutions"/>
        <s v="Total Public Debt Repayment"/>
        <s v="Total Loans &amp; Advances"/>
        <s v="Loans to State Governments"/>
      </sharedItems>
    </cacheField>
    <cacheField name="2013-14" numFmtId="166">
      <sharedItems containsSemiMixedTypes="0" containsString="0" containsNumber="1" minValue="0" maxValue="4048883.11" count="71">
        <n v="1217798.79"/>
        <n v="820765.89"/>
        <n v="1138995.47"/>
        <n v="318229.58"/>
        <n v="0"/>
        <n v="632517.30000000005"/>
        <n v="394677.85"/>
        <n v="237817.23"/>
        <n v="6025.37"/>
        <n v="5017.5"/>
        <n v="497322.97"/>
        <n v="172085.42"/>
        <n v="169455.14"/>
        <n v="154778.12"/>
        <n v="397032.9"/>
        <n v="883.77"/>
        <n v="134425.87"/>
        <n v="43991.35"/>
        <n v="90434.52"/>
        <n v="114891.32"/>
        <n v="28956.11"/>
        <n v="1263.8800000000001"/>
        <n v="226411.08"/>
        <n v="10730.42"/>
        <n v="40113.760000000002"/>
        <n v="3618.06"/>
        <n v="1575096.57"/>
        <n v="678742.7"/>
        <n v="5044.4799999999996"/>
        <n v="8464"/>
        <n v="395199.59"/>
        <n v="394512.11"/>
        <n v="52479.96"/>
        <n v="42994.76"/>
        <n v="87551.62"/>
        <n v="74896.19"/>
        <n v="129890.21"/>
        <n v="87750.54"/>
        <n v="13472.26"/>
        <n v="20160.27"/>
        <n v="5696.32"/>
        <n v="4048883.11"/>
        <n v="3994966.22"/>
        <n v="3969549.99"/>
        <n v="563674.67000000004"/>
        <n v="2151859.5299999998"/>
        <n v="580087.59"/>
        <n v="137520.26"/>
        <n v="136956.26"/>
        <n v="25416.23"/>
        <n v="24549"/>
        <n v="10007.6"/>
        <n v="29367.89"/>
        <n v="3711135.71"/>
        <n v="168844.47"/>
        <n v="87900.22"/>
        <n v="79125.05"/>
        <n v="3386.56"/>
        <n v="76248.11"/>
        <n v="525.47"/>
        <n v="3225.76"/>
        <n v="48305.1"/>
        <n v="26124.52"/>
        <n v="6054.63"/>
        <n v="14890.65"/>
        <n v="3078.35"/>
        <n v="18827.240000000002"/>
        <n v="16100"/>
        <n v="3511291.32"/>
        <n v="30999.919999999998"/>
        <n v="11008.1"/>
      </sharedItems>
    </cacheField>
    <cacheField name="2014-15" numFmtId="166">
      <sharedItems containsSemiMixedTypes="0" containsString="0" containsNumber="1" minValue="0" maxValue="4282482.8499999996"/>
    </cacheField>
    <cacheField name="2015-16" numFmtId="166">
      <sharedItems containsSemiMixedTypes="0" containsString="0" containsNumber="1" minValue="0" maxValue="4400951.21"/>
    </cacheField>
    <cacheField name="2016-17" numFmtId="166">
      <sharedItems containsSemiMixedTypes="0" containsString="0" containsNumber="1" minValue="0" maxValue="6222850.2400000002"/>
    </cacheField>
    <cacheField name="2017-18" numFmtId="166">
      <sharedItems containsSemiMixedTypes="0" containsString="0" containsNumber="1" minValue="460.13" maxValue="6724689.1799999997"/>
    </cacheField>
    <cacheField name="2018-19" numFmtId="166">
      <sharedItems containsSemiMixedTypes="0" containsString="0" containsNumber="1" minValue="743.71" maxValue="6883718.3899999997"/>
    </cacheField>
    <cacheField name="2019-20" numFmtId="166">
      <sharedItems containsSemiMixedTypes="0" containsString="0" containsNumber="1" minValue="21.36" maxValue="7370383.4699999997"/>
    </cacheField>
    <cacheField name="2020-21" numFmtId="166">
      <sharedItems containsSemiMixedTypes="0" containsString="0" containsNumber="1" minValue="35.9" maxValue="8230730.0800000001"/>
    </cacheField>
    <cacheField name="2021-22" numFmtId="166">
      <sharedItems containsSemiMixedTypes="0" containsString="0" containsNumber="1" minValue="193.26" maxValue="8288737.9699999997"/>
    </cacheField>
    <cacheField name="2022-23" numFmtId="166">
      <sharedItems containsSemiMixedTypes="0" containsString="0" containsNumber="1" minValue="75.44" maxValue="8947200.1400000006"/>
    </cacheField>
    <cacheField name="2023-24" numFmtId="166">
      <sharedItems containsSemiMixedTypes="0" containsString="0" containsNumber="1" minValue="-4850.43" maxValue="9322304.1799999997"/>
    </cacheField>
    <cacheField name="RE 2024-25" numFmtId="166">
      <sharedItems containsSemiMixedTypes="0" containsString="0" containsNumber="1" minValue="0" maxValue="9929531.8800000008"/>
    </cacheField>
    <cacheField name="BE 2025-26" numFmtId="166">
      <sharedItems containsSemiMixedTypes="0" containsString="0" containsNumber="1" minValue="0" maxValue="10760098.77"/>
    </cacheField>
  </cacheFields>
  <extLst>
    <ext xmlns:x14="http://schemas.microsoft.com/office/spreadsheetml/2009/9/main" uri="{725AE2AE-9491-48be-B2B4-4EB974FC3084}">
      <x14:pivotCacheDefinition pivotCacheId="592143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x v="0"/>
    <x v="0"/>
    <x v="0"/>
    <n v="337747.39999999991"/>
    <s v="-"/>
    <s v="Base year"/>
  </r>
  <r>
    <x v="1"/>
    <x v="1"/>
    <x v="1"/>
    <x v="1"/>
    <x v="1"/>
    <x v="1"/>
    <n v="360776.6099999994"/>
    <n v="9.1238528821333389E-2"/>
    <s v="▲Growth"/>
  </r>
  <r>
    <x v="2"/>
    <x v="2"/>
    <x v="2"/>
    <x v="2"/>
    <x v="2"/>
    <x v="2"/>
    <n v="337155.95999999996"/>
    <n v="8.0706250938363769E-2"/>
    <s v="▲Growth"/>
  </r>
  <r>
    <x v="3"/>
    <x v="3"/>
    <x v="3"/>
    <x v="3"/>
    <x v="3"/>
    <x v="3"/>
    <n v="234543.83000000007"/>
    <n v="0.12521427449090605"/>
    <s v="▲Growth"/>
  </r>
  <r>
    <x v="4"/>
    <x v="4"/>
    <x v="4"/>
    <x v="4"/>
    <x v="4"/>
    <x v="4"/>
    <n v="444832.37999999989"/>
    <n v="4.6507227114399773E-2"/>
    <s v="▲Growth"/>
  </r>
  <r>
    <x v="5"/>
    <x v="5"/>
    <x v="5"/>
    <x v="5"/>
    <x v="5"/>
    <x v="5"/>
    <n v="364582.80999999959"/>
    <n v="6.8190450589308393E-2"/>
    <s v="▲Growth"/>
  </r>
  <r>
    <x v="6"/>
    <x v="6"/>
    <x v="6"/>
    <x v="6"/>
    <x v="6"/>
    <x v="6"/>
    <n v="610948.81999999937"/>
    <n v="7.8396638655592502E-2"/>
    <s v="▲Growth"/>
  </r>
  <r>
    <x v="7"/>
    <x v="7"/>
    <x v="7"/>
    <x v="7"/>
    <x v="7"/>
    <x v="7"/>
    <n v="1453300.42"/>
    <n v="-4.2898601991671302E-2"/>
    <s v="▼ Decline"/>
  </r>
  <r>
    <x v="8"/>
    <x v="8"/>
    <x v="8"/>
    <x v="8"/>
    <x v="8"/>
    <x v="8"/>
    <n v="843424.91999999993"/>
    <n v="0.30673310716280316"/>
    <s v="▲Growth"/>
  </r>
  <r>
    <x v="9"/>
    <x v="9"/>
    <x v="9"/>
    <x v="9"/>
    <x v="9"/>
    <x v="9"/>
    <n v="980683.53000000026"/>
    <n v="0.11362800823772093"/>
    <s v="▲Growth"/>
  </r>
  <r>
    <x v="10"/>
    <x v="10"/>
    <x v="10"/>
    <x v="10"/>
    <x v="10"/>
    <x v="10"/>
    <n v="861321.29999999888"/>
    <n v="0.13817564300338717"/>
    <s v="▲Growth"/>
  </r>
  <r>
    <x v="11"/>
    <x v="11"/>
    <x v="11"/>
    <x v="11"/>
    <x v="11"/>
    <x v="11"/>
    <n v="429115.60000000149"/>
    <n v="0.12877984452330063"/>
    <s v="▲Growth"/>
  </r>
  <r>
    <x v="12"/>
    <x v="12"/>
    <x v="12"/>
    <x v="12"/>
    <x v="12"/>
    <x v="12"/>
    <n v="466976.27999999933"/>
    <n v="0.10023302680979182"/>
    <s v="▲Growth"/>
  </r>
  <r>
    <x v="13"/>
    <x v="13"/>
    <x v="13"/>
    <x v="13"/>
    <x v="13"/>
    <x v="13"/>
    <n v="7725409.8599999985"/>
    <s v="-"/>
    <s v="13 years "/>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n v="1575096.57"/>
    <x v="0"/>
    <n v="4048883.11"/>
    <n v="3711135.71"/>
    <n v="337747.39999999991"/>
  </r>
  <r>
    <x v="1"/>
    <x v="1"/>
    <n v="1695136.79"/>
    <x v="1"/>
    <n v="4282482.8499999996"/>
    <n v="3921706.24"/>
    <n v="360776.6099999994"/>
  </r>
  <r>
    <x v="2"/>
    <x v="2"/>
    <n v="1779528.81"/>
    <x v="2"/>
    <n v="4400951.21"/>
    <n v="4063795.25"/>
    <n v="337155.95999999996"/>
  </r>
  <r>
    <x v="3"/>
    <x v="3"/>
    <n v="1933018.06"/>
    <x v="3"/>
    <n v="6222850.2400000002"/>
    <n v="5988306.4100000001"/>
    <n v="234543.83000000007"/>
  </r>
  <r>
    <x v="4"/>
    <x v="4"/>
    <n v="2140084.5299999998"/>
    <x v="4"/>
    <n v="6724689.1799999997"/>
    <n v="6279856.7999999998"/>
    <n v="444832.37999999989"/>
  </r>
  <r>
    <x v="5"/>
    <x v="5"/>
    <n v="2261570.81"/>
    <x v="5"/>
    <n v="6883718.3899999997"/>
    <n v="6519135.5800000001"/>
    <n v="364582.80999999959"/>
  </r>
  <r>
    <x v="6"/>
    <x v="6"/>
    <n v="2615319.67"/>
    <x v="6"/>
    <n v="7370383.4699999997"/>
    <n v="6759434.6500000004"/>
    <n v="610948.81999999937"/>
  </r>
  <r>
    <x v="7"/>
    <x v="7"/>
    <n v="3314851.92"/>
    <x v="7"/>
    <n v="8230730.0800000001"/>
    <n v="6777429.6600000001"/>
    <n v="1453300.42"/>
  </r>
  <r>
    <x v="8"/>
    <x v="8"/>
    <n v="3468188.81"/>
    <x v="8"/>
    <n v="8288737.9699999997"/>
    <n v="7445313.0499999998"/>
    <n v="843424.91999999993"/>
  </r>
  <r>
    <x v="9"/>
    <x v="9"/>
    <n v="3783698.51"/>
    <x v="9"/>
    <n v="8947200.1400000006"/>
    <n v="7966516.6100000003"/>
    <n v="980683.53000000026"/>
  </r>
  <r>
    <x v="10"/>
    <x v="10"/>
    <n v="3854082.21"/>
    <x v="10"/>
    <n v="9322304.1799999997"/>
    <n v="8460982.8800000008"/>
    <n v="861321.29999999888"/>
  </r>
  <r>
    <x v="11"/>
    <x v="11"/>
    <n v="4096607.07"/>
    <x v="11"/>
    <n v="9929531.8800000008"/>
    <n v="9500416.2799999993"/>
    <n v="429115.60000000149"/>
  </r>
  <r>
    <x v="12"/>
    <x v="12"/>
    <n v="4359702.41"/>
    <x v="12"/>
    <n v="10760098.77"/>
    <n v="10293122.49"/>
    <n v="466976.2799999993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Revenue Receipts"/>
    <x v="0"/>
    <x v="0"/>
    <x v="0"/>
    <x v="0"/>
    <x v="0"/>
    <x v="0"/>
    <x v="0"/>
    <x v="0"/>
    <x v="0"/>
    <x v="0"/>
    <x v="0"/>
    <x v="0"/>
    <x v="0"/>
    <x v="0"/>
    <x v="0"/>
    <x v="0"/>
  </r>
  <r>
    <s v="Revenue Receipts"/>
    <x v="0"/>
    <x v="1"/>
    <x v="1"/>
    <x v="1"/>
    <x v="1"/>
    <x v="1"/>
    <x v="1"/>
    <x v="1"/>
    <x v="1"/>
    <x v="1"/>
    <x v="1"/>
    <x v="1"/>
    <x v="1"/>
    <x v="1"/>
    <x v="1"/>
    <x v="1"/>
  </r>
  <r>
    <s v="Revenue Receipts"/>
    <x v="0"/>
    <x v="2"/>
    <x v="2"/>
    <x v="2"/>
    <x v="2"/>
    <x v="2"/>
    <x v="2"/>
    <x v="2"/>
    <x v="2"/>
    <x v="2"/>
    <x v="2"/>
    <x v="2"/>
    <x v="2"/>
    <x v="2"/>
    <x v="2"/>
    <x v="2"/>
  </r>
  <r>
    <s v="Revenue Receipts"/>
    <x v="0"/>
    <x v="2"/>
    <x v="3"/>
    <x v="3"/>
    <x v="3"/>
    <x v="3"/>
    <x v="3"/>
    <x v="3"/>
    <x v="3"/>
    <x v="3"/>
    <x v="3"/>
    <x v="3"/>
    <x v="3"/>
    <x v="3"/>
    <x v="3"/>
    <x v="3"/>
  </r>
  <r>
    <s v="Revenue Receipts"/>
    <x v="0"/>
    <x v="3"/>
    <x v="4"/>
    <x v="4"/>
    <x v="4"/>
    <x v="4"/>
    <x v="4"/>
    <x v="4"/>
    <x v="4"/>
    <x v="4"/>
    <x v="4"/>
    <x v="4"/>
    <x v="4"/>
    <x v="4"/>
    <x v="4"/>
    <x v="4"/>
  </r>
  <r>
    <s v="Revenue Receipts"/>
    <x v="0"/>
    <x v="3"/>
    <x v="5"/>
    <x v="4"/>
    <x v="4"/>
    <x v="4"/>
    <x v="4"/>
    <x v="5"/>
    <x v="5"/>
    <x v="5"/>
    <x v="5"/>
    <x v="5"/>
    <x v="5"/>
    <x v="5"/>
    <x v="5"/>
    <x v="5"/>
  </r>
  <r>
    <s v="Revenue Receipts"/>
    <x v="0"/>
    <x v="3"/>
    <x v="6"/>
    <x v="4"/>
    <x v="4"/>
    <x v="4"/>
    <x v="4"/>
    <x v="6"/>
    <x v="6"/>
    <x v="6"/>
    <x v="6"/>
    <x v="6"/>
    <x v="6"/>
    <x v="6"/>
    <x v="6"/>
    <x v="6"/>
  </r>
  <r>
    <s v="Revenue Receipts"/>
    <x v="0"/>
    <x v="3"/>
    <x v="7"/>
    <x v="4"/>
    <x v="4"/>
    <x v="4"/>
    <x v="4"/>
    <x v="7"/>
    <x v="7"/>
    <x v="7"/>
    <x v="7"/>
    <x v="7"/>
    <x v="7"/>
    <x v="7"/>
    <x v="7"/>
    <x v="7"/>
  </r>
  <r>
    <s v="Revenue Receipts"/>
    <x v="0"/>
    <x v="4"/>
    <x v="8"/>
    <x v="5"/>
    <x v="5"/>
    <x v="5"/>
    <x v="5"/>
    <x v="8"/>
    <x v="8"/>
    <x v="8"/>
    <x v="8"/>
    <x v="8"/>
    <x v="8"/>
    <x v="8"/>
    <x v="8"/>
    <x v="8"/>
  </r>
  <r>
    <s v="Revenue Receipts"/>
    <x v="0"/>
    <x v="4"/>
    <x v="9"/>
    <x v="6"/>
    <x v="6"/>
    <x v="6"/>
    <x v="6"/>
    <x v="9"/>
    <x v="9"/>
    <x v="9"/>
    <x v="9"/>
    <x v="9"/>
    <x v="9"/>
    <x v="9"/>
    <x v="9"/>
    <x v="9"/>
  </r>
  <r>
    <s v="Revenue Receipts"/>
    <x v="0"/>
    <x v="4"/>
    <x v="10"/>
    <x v="7"/>
    <x v="7"/>
    <x v="7"/>
    <x v="7"/>
    <x v="10"/>
    <x v="10"/>
    <x v="10"/>
    <x v="10"/>
    <x v="10"/>
    <x v="10"/>
    <x v="10"/>
    <x v="10"/>
    <x v="10"/>
  </r>
  <r>
    <s v="Revenue Receipts"/>
    <x v="0"/>
    <x v="5"/>
    <x v="11"/>
    <x v="8"/>
    <x v="8"/>
    <x v="8"/>
    <x v="8"/>
    <x v="11"/>
    <x v="11"/>
    <x v="11"/>
    <x v="11"/>
    <x v="11"/>
    <x v="11"/>
    <x v="11"/>
    <x v="11"/>
    <x v="11"/>
  </r>
  <r>
    <s v="Revenue Receipts"/>
    <x v="0"/>
    <x v="5"/>
    <x v="12"/>
    <x v="9"/>
    <x v="9"/>
    <x v="9"/>
    <x v="9"/>
    <x v="12"/>
    <x v="12"/>
    <x v="12"/>
    <x v="12"/>
    <x v="12"/>
    <x v="12"/>
    <x v="12"/>
    <x v="11"/>
    <x v="11"/>
  </r>
  <r>
    <s v="Revenue Receipts"/>
    <x v="0"/>
    <x v="6"/>
    <x v="13"/>
    <x v="10"/>
    <x v="10"/>
    <x v="10"/>
    <x v="10"/>
    <x v="13"/>
    <x v="13"/>
    <x v="13"/>
    <x v="13"/>
    <x v="13"/>
    <x v="13"/>
    <x v="13"/>
    <x v="12"/>
    <x v="12"/>
  </r>
  <r>
    <s v="Revenue Receipts"/>
    <x v="0"/>
    <x v="6"/>
    <x v="14"/>
    <x v="11"/>
    <x v="11"/>
    <x v="11"/>
    <x v="11"/>
    <x v="14"/>
    <x v="14"/>
    <x v="14"/>
    <x v="14"/>
    <x v="14"/>
    <x v="14"/>
    <x v="14"/>
    <x v="13"/>
    <x v="13"/>
  </r>
  <r>
    <s v="Revenue Receipts"/>
    <x v="0"/>
    <x v="6"/>
    <x v="15"/>
    <x v="12"/>
    <x v="12"/>
    <x v="12"/>
    <x v="12"/>
    <x v="15"/>
    <x v="15"/>
    <x v="15"/>
    <x v="15"/>
    <x v="15"/>
    <x v="15"/>
    <x v="15"/>
    <x v="14"/>
    <x v="14"/>
  </r>
  <r>
    <s v="Revenue Receipts"/>
    <x v="0"/>
    <x v="6"/>
    <x v="16"/>
    <x v="13"/>
    <x v="13"/>
    <x v="13"/>
    <x v="13"/>
    <x v="16"/>
    <x v="16"/>
    <x v="16"/>
    <x v="16"/>
    <x v="16"/>
    <x v="16"/>
    <x v="16"/>
    <x v="15"/>
    <x v="1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
  <r>
    <x v="0"/>
    <x v="0"/>
    <x v="0"/>
    <x v="0"/>
    <x v="0"/>
    <n v="1328908.96"/>
    <n v="1436160.22"/>
    <n v="1615987.98"/>
    <n v="1691143.1"/>
    <n v="1806462.91"/>
    <n v="1948083.53"/>
    <n v="1864513.47"/>
    <n v="2436421.48"/>
    <n v="2713267.2"/>
    <n v="3088174.64"/>
    <n v="3485869.29"/>
    <n v="3835268.52"/>
  </r>
  <r>
    <x v="0"/>
    <x v="0"/>
    <x v="1"/>
    <x v="1"/>
    <x v="1"/>
    <n v="907327.3"/>
    <n v="949698.13"/>
    <n v="1107967.73"/>
    <n v="1246178.24"/>
    <n v="1319011.28"/>
    <n v="1359382.28"/>
    <n v="1432107.08"/>
    <n v="1810923.51"/>
    <n v="2105785.8199999998"/>
    <n v="2336024.87"/>
    <n v="2566569.5699999998"/>
    <n v="2847788.89"/>
  </r>
  <r>
    <x v="0"/>
    <x v="0"/>
    <x v="2"/>
    <x v="2"/>
    <x v="2"/>
    <n v="1245135.75"/>
    <n v="1455891.09"/>
    <n v="1715968.04"/>
    <n v="1919183.53"/>
    <n v="2080465.43"/>
    <n v="2010059.33"/>
    <n v="2027103.84"/>
    <n v="2709315.08"/>
    <n v="3054191.64"/>
    <n v="3465518.58"/>
    <n v="3853455.01"/>
    <n v="4270233"/>
  </r>
  <r>
    <x v="0"/>
    <x v="0"/>
    <x v="2"/>
    <x v="3"/>
    <x v="3"/>
    <n v="337808.45"/>
    <n v="506192.96"/>
    <n v="608000.31000000006"/>
    <n v="673005.29"/>
    <n v="761454.15"/>
    <n v="650677.05000000005"/>
    <n v="594996.76"/>
    <n v="898391.57"/>
    <n v="948405.82"/>
    <n v="1129493.71"/>
    <n v="1286885.44"/>
    <n v="1422444.11"/>
  </r>
  <r>
    <x v="0"/>
    <x v="0"/>
    <x v="3"/>
    <x v="4"/>
    <x v="4"/>
    <n v="0"/>
    <n v="0"/>
    <n v="0"/>
    <n v="444196.53"/>
    <n v="584337.5"/>
    <n v="601783.88"/>
    <n v="551541.51"/>
    <n v="702412.82"/>
    <n v="853900.57"/>
    <n v="962704.98"/>
    <n v="1066839"/>
    <n v="1183355"/>
  </r>
  <r>
    <x v="0"/>
    <x v="0"/>
    <x v="3"/>
    <x v="5"/>
    <x v="4"/>
    <n v="0"/>
    <n v="0"/>
    <n v="0"/>
    <n v="203261.4"/>
    <n v="457534.01"/>
    <n v="494070.6"/>
    <n v="456333.97"/>
    <n v="591226.14"/>
    <n v="718521.75"/>
    <n v="820622.09"/>
    <n v="908459"/>
    <n v="1010890"/>
  </r>
  <r>
    <x v="0"/>
    <x v="0"/>
    <x v="3"/>
    <x v="6"/>
    <x v="4"/>
    <n v="0"/>
    <n v="0"/>
    <n v="0"/>
    <n v="176688.44"/>
    <n v="28944.58"/>
    <n v="9125.2099999999991"/>
    <n v="7251.43"/>
    <n v="2119.08"/>
    <n v="4748.29"/>
    <n v="-4850.43"/>
    <n v="0"/>
    <n v="0"/>
  </r>
  <r>
    <x v="0"/>
    <x v="0"/>
    <x v="3"/>
    <x v="7"/>
    <x v="4"/>
    <n v="0"/>
    <n v="0"/>
    <n v="0"/>
    <n v="62611.59"/>
    <n v="95080.71"/>
    <n v="95553.09"/>
    <n v="85191.91"/>
    <n v="104768.66"/>
    <n v="125862.41"/>
    <n v="141436.16"/>
    <n v="153440"/>
    <n v="167110"/>
  </r>
  <r>
    <x v="0"/>
    <x v="0"/>
    <x v="4"/>
    <x v="8"/>
    <x v="5"/>
    <n v="687259.5"/>
    <n v="733515.33"/>
    <n v="840530.12"/>
    <n v="990092.49"/>
    <n v="1125046.98"/>
    <n v="1037155.03"/>
    <n v="927935.69"/>
    <n v="1385089.52"/>
    <n v="1634008.03"/>
    <n v="1922033.48"/>
    <n v="2182000"/>
    <n v="2442000"/>
  </r>
  <r>
    <x v="0"/>
    <x v="0"/>
    <x v="4"/>
    <x v="9"/>
    <x v="6"/>
    <n v="428924.74"/>
    <n v="453228.33"/>
    <n v="484923.86"/>
    <n v="571201.87"/>
    <n v="663571.62"/>
    <n v="556875.55000000005"/>
    <n v="457718.97"/>
    <n v="712037.33"/>
    <n v="825833.64"/>
    <n v="911055.01"/>
    <n v="980000"/>
    <n v="1082000"/>
  </r>
  <r>
    <x v="0"/>
    <x v="0"/>
    <x v="4"/>
    <x v="10"/>
    <x v="7"/>
    <n v="258325.65"/>
    <n v="280322.5"/>
    <n v="340504.5"/>
    <n v="408091.43"/>
    <n v="461487.51"/>
    <n v="480348.14"/>
    <n v="470391.24"/>
    <n v="673100.48"/>
    <n v="808221.32"/>
    <n v="1010947.77"/>
    <n v="1199300"/>
    <n v="1357000"/>
  </r>
  <r>
    <x v="0"/>
    <x v="0"/>
    <x v="5"/>
    <x v="11"/>
    <x v="8"/>
    <n v="8484.36"/>
    <n v="8429.3799999999992"/>
    <n v="9183.26"/>
    <n v="11944.83"/>
    <n v="11568.36"/>
    <n v="12394.04"/>
    <n v="16938.84"/>
    <n v="23203.82"/>
    <n v="25076.35"/>
    <n v="33785.519999999997"/>
    <n v="55000"/>
    <n v="78000"/>
  </r>
  <r>
    <x v="0"/>
    <x v="0"/>
    <x v="5"/>
    <x v="12"/>
    <x v="9"/>
    <n v="7398.15"/>
    <n v="7350.12"/>
    <n v="8998.1200000000008"/>
    <n v="11881.4"/>
    <n v="11527.5"/>
    <n v="12374.23"/>
    <n v="16926.990000000002"/>
    <n v="23191.03"/>
    <n v="25085.37"/>
    <n v="33777.78"/>
    <n v="55000"/>
    <n v="78000"/>
  </r>
  <r>
    <x v="0"/>
    <x v="0"/>
    <x v="6"/>
    <x v="13"/>
    <x v="10"/>
    <n v="546188.14"/>
    <n v="710068.12"/>
    <n v="862109.13"/>
    <n v="469864.1"/>
    <n v="356698.37"/>
    <n v="355926.17"/>
    <n v="528115.66"/>
    <n v="595383.93000000005"/>
    <n v="537263.52"/>
    <n v="543249.51"/>
    <n v="545100"/>
    <n v="562100"/>
  </r>
  <r>
    <x v="0"/>
    <x v="0"/>
    <x v="6"/>
    <x v="14"/>
    <x v="11"/>
    <n v="188016.19"/>
    <n v="210338"/>
    <n v="225370.34"/>
    <n v="129029.92"/>
    <n v="117812.85"/>
    <n v="109282.54"/>
    <n v="134750.39000000001"/>
    <n v="199728.3"/>
    <n v="213372.09"/>
    <n v="233118.97"/>
    <n v="235000"/>
    <n v="240000"/>
  </r>
  <r>
    <x v="0"/>
    <x v="0"/>
    <x v="6"/>
    <x v="15"/>
    <x v="12"/>
    <n v="188127.6"/>
    <n v="287148.55"/>
    <n v="380495.43"/>
    <n v="258635.93"/>
    <n v="230992.59"/>
    <n v="239452.43"/>
    <n v="389667.08"/>
    <n v="390808.07"/>
    <n v="319000.11"/>
    <n v="305362.18"/>
    <n v="305000"/>
    <n v="317000"/>
  </r>
  <r>
    <x v="0"/>
    <x v="0"/>
    <x v="6"/>
    <x v="16"/>
    <x v="13"/>
    <n v="167969.04"/>
    <n v="211414.25"/>
    <n v="254498.74"/>
    <n v="81228.070000000007"/>
    <n v="6903.62"/>
    <n v="6029.11"/>
    <n v="1614.84"/>
    <n v="1011.82"/>
    <n v="430.77"/>
    <n v="424.96"/>
    <n v="100"/>
    <n v="100"/>
  </r>
  <r>
    <x v="0"/>
    <x v="0"/>
    <x v="7"/>
    <x v="17"/>
    <x v="14"/>
    <n v="421581.66"/>
    <n v="486462.09"/>
    <n v="508020.25"/>
    <n v="444964.86"/>
    <n v="487451.63"/>
    <n v="588701.25"/>
    <n v="432406.39"/>
    <n v="625497.97"/>
    <n v="607481.38"/>
    <n v="752149.77"/>
    <n v="919299.72"/>
    <n v="987479.63"/>
  </r>
  <r>
    <x v="0"/>
    <x v="0"/>
    <x v="8"/>
    <x v="18"/>
    <x v="15"/>
    <n v="1393.59"/>
    <n v="630.14"/>
    <n v="764.85"/>
    <n v="460.13"/>
    <n v="743.71"/>
    <n v="1041.06"/>
    <n v="1168.8"/>
    <n v="193.26"/>
    <n v="1127.6500000000001"/>
    <n v="1858.12"/>
    <n v="1473.82"/>
    <n v="2318.6799999999998"/>
  </r>
  <r>
    <x v="0"/>
    <x v="0"/>
    <x v="9"/>
    <x v="19"/>
    <x v="16"/>
    <n v="137818.23000000001"/>
    <n v="158405.84"/>
    <n v="166478.07"/>
    <n v="137085.12"/>
    <n v="140564.19"/>
    <n v="243083.32"/>
    <n v="156406.51"/>
    <n v="206810.28"/>
    <n v="159464.25"/>
    <n v="249528.99"/>
    <n v="372557.09"/>
    <n v="415237.98"/>
  </r>
  <r>
    <x v="0"/>
    <x v="0"/>
    <x v="9"/>
    <x v="20"/>
    <x v="17"/>
    <n v="47985.19"/>
    <n v="46278.69"/>
    <n v="43461.52"/>
    <n v="45724.65"/>
    <n v="27143.68"/>
    <n v="56950.78"/>
    <n v="59528.76"/>
    <n v="46163.53"/>
    <n v="59550.41"/>
    <n v="78652.02"/>
    <n v="83272.490000000005"/>
    <n v="90237.98"/>
  </r>
  <r>
    <x v="0"/>
    <x v="0"/>
    <x v="9"/>
    <x v="21"/>
    <x v="18"/>
    <n v="89833.04"/>
    <n v="112127.15"/>
    <n v="123016.55"/>
    <n v="91360.47"/>
    <n v="113420.51"/>
    <n v="186132.54"/>
    <n v="96877.75"/>
    <n v="160646.75"/>
    <n v="99913.84"/>
    <n v="170876.97"/>
    <n v="289284.59999999998"/>
    <n v="325000"/>
  </r>
  <r>
    <x v="0"/>
    <x v="0"/>
    <x v="10"/>
    <x v="22"/>
    <x v="19"/>
    <n v="119752.71"/>
    <n v="325544.88"/>
    <n v="339477.74"/>
    <n v="303837.40999999997"/>
    <n v="345080.54"/>
    <n v="344203.9"/>
    <n v="273079.44"/>
    <n v="417188.47"/>
    <n v="445002.37"/>
    <n v="499749.92"/>
    <n v="544093.05000000005"/>
    <n v="568748.43999999994"/>
  </r>
  <r>
    <x v="0"/>
    <x v="0"/>
    <x v="10"/>
    <x v="23"/>
    <x v="20"/>
    <n v="35319.99"/>
    <n v="35513.32"/>
    <n v="40652.03"/>
    <n v="42065.18"/>
    <n v="47322.8"/>
    <n v="45845.22"/>
    <n v="39565.879999999997"/>
    <n v="65742.45"/>
    <n v="56303.68"/>
    <n v="63297.87"/>
    <n v="61367.9"/>
    <n v="72257.03"/>
  </r>
  <r>
    <x v="0"/>
    <x v="0"/>
    <x v="10"/>
    <x v="24"/>
    <x v="21"/>
    <n v="1674.87"/>
    <n v="10015.1"/>
    <n v="11928.15"/>
    <n v="3008.13"/>
    <n v="3079.9"/>
    <n v="3404.2"/>
    <n v="3790.65"/>
    <n v="4761.09"/>
    <n v="6887.94"/>
    <n v="7669.8"/>
    <n v="6426.34"/>
    <n v="11187.46"/>
  </r>
  <r>
    <x v="0"/>
    <x v="0"/>
    <x v="10"/>
    <x v="25"/>
    <x v="22"/>
    <n v="242412.84"/>
    <n v="278478.19"/>
    <n v="285093.53000000003"/>
    <n v="256874.48"/>
    <n v="292788.31"/>
    <n v="293192.67"/>
    <n v="228124.6"/>
    <n v="344939.98"/>
    <n v="379620.09"/>
    <n v="425716.59"/>
    <n v="473228.53"/>
    <n v="481884.77"/>
  </r>
  <r>
    <x v="0"/>
    <x v="0"/>
    <x v="10"/>
    <x v="26"/>
    <x v="23"/>
    <n v="11635.98"/>
    <n v="12939.79"/>
    <n v="11511"/>
    <n v="12832.76"/>
    <n v="13195.68"/>
    <n v="13558.2"/>
    <n v="10632.31"/>
    <n v="10860.8"/>
    <n v="10917.89"/>
    <n v="11321.36"/>
    <n v="12207.01"/>
    <n v="12487.11"/>
  </r>
  <r>
    <x v="0"/>
    <x v="0"/>
    <x v="10"/>
    <x v="27"/>
    <x v="24"/>
    <n v="30624.18"/>
    <n v="56478.61"/>
    <n v="70241.14"/>
    <n v="32065.9"/>
    <n v="40815.730000000003"/>
    <n v="69846.429999999993"/>
    <n v="45500.65"/>
    <n v="85828.07"/>
    <n v="64835.17"/>
    <n v="90659.26"/>
    <n v="123357.2"/>
    <n v="82442.84"/>
  </r>
  <r>
    <x v="0"/>
    <x v="0"/>
    <x v="11"/>
    <x v="28"/>
    <x v="25"/>
    <n v="1599.88"/>
    <n v="1881.23"/>
    <n v="1299.5899999999999"/>
    <n v="3582.2"/>
    <n v="1063.19"/>
    <n v="372.97"/>
    <n v="1751.64"/>
    <n v="1305.96"/>
    <n v="1887.11"/>
    <n v="1012.74"/>
    <n v="1175.76"/>
    <n v="1174.53"/>
  </r>
  <r>
    <x v="1"/>
    <x v="1"/>
    <x v="0"/>
    <x v="29"/>
    <x v="26"/>
    <n v="1695136.79"/>
    <n v="1779528.81"/>
    <n v="1933018.06"/>
    <n v="2140084.5299999998"/>
    <n v="2261570.81"/>
    <n v="2615319.67"/>
    <n v="3314851.92"/>
    <n v="3468188.81"/>
    <n v="3783698.51"/>
    <n v="3854082.21"/>
    <n v="4096607.07"/>
    <n v="4359702.41"/>
  </r>
  <r>
    <x v="1"/>
    <x v="1"/>
    <x v="12"/>
    <x v="30"/>
    <x v="27"/>
    <n v="751667.18"/>
    <n v="803420.84"/>
    <n v="924736.15"/>
    <n v="1008488.62"/>
    <n v="1100282.99"/>
    <n v="1210584.8400000001"/>
    <n v="1294769.24"/>
    <n v="1478491.06"/>
    <n v="1677865.95"/>
    <n v="1876063.41"/>
    <n v="2042886.1"/>
    <n v="2182279.64"/>
  </r>
  <r>
    <x v="1"/>
    <x v="1"/>
    <x v="12"/>
    <x v="31"/>
    <x v="28"/>
    <n v="5213.82"/>
    <n v="7300.44"/>
    <n v="8664.35"/>
    <n v="7936.69"/>
    <n v="8538.68"/>
    <n v="9295.48"/>
    <n v="8008.86"/>
    <n v="10077.41"/>
    <n v="12280.97"/>
    <n v="13283.76"/>
    <n v="14107.08"/>
    <n v="12737.04"/>
  </r>
  <r>
    <x v="1"/>
    <x v="1"/>
    <x v="12"/>
    <x v="32"/>
    <x v="29"/>
    <n v="9593.3799999999992"/>
    <n v="10648.57"/>
    <n v="13000.46"/>
    <n v="15361.52"/>
    <n v="16536.59"/>
    <n v="16834.72"/>
    <n v="17019.759999999998"/>
    <n v="67395.600000000006"/>
    <n v="45640.91"/>
    <n v="45881.599999999999"/>
    <n v="51775.99"/>
    <n v="55177.64"/>
  </r>
  <r>
    <x v="1"/>
    <x v="1"/>
    <x v="12"/>
    <x v="33"/>
    <x v="30"/>
    <n v="425098.26"/>
    <n v="457270.38"/>
    <n v="504512.46"/>
    <n v="543707.26"/>
    <n v="595552.17000000004"/>
    <n v="655370.53"/>
    <n v="720983.93"/>
    <n v="828252.59"/>
    <n v="958715.21"/>
    <n v="1102650.18"/>
    <n v="1185170.92"/>
    <n v="1315837.98"/>
  </r>
  <r>
    <x v="1"/>
    <x v="1"/>
    <x v="12"/>
    <x v="34"/>
    <x v="31"/>
    <n v="425098.26"/>
    <n v="457232.16"/>
    <n v="503919.04"/>
    <n v="543404.14"/>
    <n v="595530.23999999999"/>
    <n v="649879.87"/>
    <n v="711936.57"/>
    <n v="823011.28"/>
    <n v="957689.53"/>
    <n v="1101867.8799999999"/>
    <n v="1182510.33"/>
    <n v="1313487.98"/>
  </r>
  <r>
    <x v="1"/>
    <x v="1"/>
    <x v="12"/>
    <x v="35"/>
    <x v="32"/>
    <n v="58552.91"/>
    <n v="65051.15"/>
    <n v="76186.880000000005"/>
    <n v="85190.03"/>
    <n v="98577.47"/>
    <n v="109586.86"/>
    <n v="105083.76"/>
    <n v="118244.14"/>
    <n v="130975.55"/>
    <n v="141804.85999999999"/>
    <n v="164840.57999999999"/>
    <n v="170552.75"/>
  </r>
  <r>
    <x v="1"/>
    <x v="1"/>
    <x v="12"/>
    <x v="36"/>
    <x v="33"/>
    <n v="47943.3"/>
    <n v="53015.02"/>
    <n v="62732.88"/>
    <n v="69472.600000000006"/>
    <n v="80406.350000000006"/>
    <n v="89866.55"/>
    <n v="86793.01"/>
    <n v="98283.92"/>
    <n v="107186.53"/>
    <n v="115392.83"/>
    <n v="136306.43"/>
    <n v="141879.63"/>
  </r>
  <r>
    <x v="1"/>
    <x v="1"/>
    <x v="12"/>
    <x v="37"/>
    <x v="34"/>
    <n v="107910.62"/>
    <n v="111285.34"/>
    <n v="149236.97"/>
    <n v="163195.74"/>
    <n v="176909.73"/>
    <n v="203877.44"/>
    <n v="227572.6"/>
    <n v="218981.69"/>
    <n v="265359.82"/>
    <n v="273542.40999999997"/>
    <n v="320886.63"/>
    <n v="308118.68"/>
  </r>
  <r>
    <x v="1"/>
    <x v="1"/>
    <x v="12"/>
    <x v="38"/>
    <x v="35"/>
    <n v="93610.72"/>
    <n v="96770.94"/>
    <n v="131400.85"/>
    <n v="145745.07"/>
    <n v="160211.49"/>
    <n v="183954.61"/>
    <n v="208473.04"/>
    <n v="198946.1"/>
    <n v="241599.29"/>
    <n v="238328.29"/>
    <n v="276102.90000000002"/>
    <n v="277618.32"/>
  </r>
  <r>
    <x v="1"/>
    <x v="1"/>
    <x v="13"/>
    <x v="39"/>
    <x v="36"/>
    <n v="145145.95000000001"/>
    <n v="151599.47"/>
    <n v="173025.04"/>
    <n v="192865.24"/>
    <n v="203882.56"/>
    <n v="215297.28"/>
    <n v="215513.72"/>
    <n v="234955.86"/>
    <n v="264232.90999999997"/>
    <n v="297738.46999999997"/>
    <n v="304863.40999999997"/>
    <n v="318723.58"/>
  </r>
  <r>
    <x v="1"/>
    <x v="1"/>
    <x v="13"/>
    <x v="40"/>
    <x v="37"/>
    <n v="99321.39"/>
    <n v="105994.58"/>
    <n v="120374.48"/>
    <n v="135362.35999999999"/>
    <n v="141829.60999999999"/>
    <n v="146821.92000000001"/>
    <n v="145181.03"/>
    <n v="161728.26999999999"/>
    <n v="175666.05"/>
    <n v="197020.12"/>
    <n v="204628.97"/>
    <n v="212030.78"/>
  </r>
  <r>
    <x v="1"/>
    <x v="1"/>
    <x v="13"/>
    <x v="41"/>
    <x v="38"/>
    <n v="14352"/>
    <n v="15320.81"/>
    <n v="17469.27"/>
    <n v="19344.87"/>
    <n v="21738.880000000001"/>
    <n v="23087.69"/>
    <n v="24710.34"/>
    <n v="24426.52"/>
    <n v="31343.599999999999"/>
    <n v="35147.800000000003"/>
    <n v="36557.31"/>
    <n v="39019.800000000003"/>
  </r>
  <r>
    <x v="1"/>
    <x v="1"/>
    <x v="13"/>
    <x v="42"/>
    <x v="39"/>
    <n v="22685.3"/>
    <n v="21848.9"/>
    <n v="25228.14"/>
    <n v="28418.799999999999"/>
    <n v="29370.54"/>
    <n v="31528.49"/>
    <n v="34615.96"/>
    <n v="35687.93"/>
    <n v="47455.55"/>
    <n v="54742.33"/>
    <n v="51876.77"/>
    <n v="55000"/>
  </r>
  <r>
    <x v="1"/>
    <x v="1"/>
    <x v="13"/>
    <x v="43"/>
    <x v="40"/>
    <n v="6237.08"/>
    <n v="6183.9"/>
    <n v="6963.69"/>
    <n v="8033.79"/>
    <n v="8431.44"/>
    <n v="9086.14"/>
    <n v="8350.77"/>
    <n v="8406.2199999999993"/>
    <n v="9407.7900000000009"/>
    <n v="10427.48"/>
    <n v="11330.01"/>
    <n v="12193"/>
  </r>
  <r>
    <x v="2"/>
    <x v="2"/>
    <x v="0"/>
    <x v="44"/>
    <x v="41"/>
    <n v="4282482.8499999996"/>
    <n v="4400951.21"/>
    <n v="6222850.2400000002"/>
    <n v="6724689.1799999997"/>
    <n v="6883718.3899999997"/>
    <n v="7370383.4699999997"/>
    <n v="8230730.0800000001"/>
    <n v="8288737.9699999997"/>
    <n v="8947200.1400000006"/>
    <n v="9322304.1799999997"/>
    <n v="9929531.8800000008"/>
    <n v="10760098.77"/>
  </r>
  <r>
    <x v="2"/>
    <x v="2"/>
    <x v="14"/>
    <x v="45"/>
    <x v="42"/>
    <n v="4218196.3"/>
    <n v="4316949.72"/>
    <n v="6134136.5899999999"/>
    <n v="6554001.5700000003"/>
    <n v="6758482.4000000004"/>
    <n v="7301387"/>
    <n v="8162909.96"/>
    <n v="8249151.6500000004"/>
    <n v="8864892.5999999996"/>
    <n v="9160049.8800000008"/>
    <n v="9693665.4399999995"/>
    <n v="10566348.76"/>
  </r>
  <r>
    <x v="2"/>
    <x v="2"/>
    <x v="15"/>
    <x v="46"/>
    <x v="43"/>
    <n v="4184662.41"/>
    <n v="4280896"/>
    <n v="6089945.0999999996"/>
    <n v="6505484.8300000001"/>
    <n v="6707872.96"/>
    <n v="7238206.7000000002"/>
    <n v="8038972.3899999997"/>
    <n v="8162487.0800000001"/>
    <n v="8771161.3200000003"/>
    <n v="9039620.6799999997"/>
    <n v="9585953.9100000001"/>
    <n v="10455335.4"/>
  </r>
  <r>
    <x v="2"/>
    <x v="2"/>
    <x v="15"/>
    <x v="47"/>
    <x v="44"/>
    <n v="592000"/>
    <n v="585000"/>
    <n v="583045"/>
    <n v="588000"/>
    <n v="571000"/>
    <n v="710000"/>
    <n v="1260115.73"/>
    <n v="968381.54"/>
    <n v="1421000"/>
    <n v="1543000"/>
    <n v="1400697.4"/>
    <n v="1482000"/>
  </r>
  <r>
    <x v="2"/>
    <x v="2"/>
    <x v="15"/>
    <x v="48"/>
    <x v="45"/>
    <n v="2216124.48"/>
    <n v="2449918.9700000002"/>
    <n v="3216118.41"/>
    <n v="3790637.92"/>
    <n v="3570681.38"/>
    <n v="3355188.43"/>
    <n v="3745789.93"/>
    <n v="4432508.1399999997"/>
    <n v="4868275.3"/>
    <n v="4838804.58"/>
    <n v="5719741.7599999998"/>
    <n v="6030452.6500000004"/>
  </r>
  <r>
    <x v="2"/>
    <x v="2"/>
    <x v="15"/>
    <x v="49"/>
    <x v="46"/>
    <n v="670312.98"/>
    <n v="686666.71"/>
    <n v="664567.49"/>
    <n v="774059.95"/>
    <n v="660165.24"/>
    <n v="639472.68000000005"/>
    <n v="743488.03"/>
    <n v="847904.18"/>
    <n v="715950.53"/>
    <n v="644427.47"/>
    <n v="747644.75"/>
    <n v="606191.25"/>
  </r>
  <r>
    <x v="2"/>
    <x v="2"/>
    <x v="15"/>
    <x v="50"/>
    <x v="47"/>
    <n v="147608.18"/>
    <n v="162188.60999999999"/>
    <n v="174035.07"/>
    <n v="185416.61"/>
    <n v="258020.06"/>
    <n v="321689.3"/>
    <n v="488606.87"/>
    <n v="465678.81"/>
    <n v="549240.87"/>
    <n v="571191.61"/>
    <n v="394007.06"/>
    <n v="484082.34"/>
  </r>
  <r>
    <x v="2"/>
    <x v="2"/>
    <x v="15"/>
    <x v="51"/>
    <x v="48"/>
    <n v="149200.68"/>
    <n v="154033.20000000001"/>
    <n v="142525.75"/>
    <n v="159685"/>
    <n v="208896"/>
    <n v="217670"/>
    <n v="458240"/>
    <n v="407796.43"/>
    <n v="445283.5"/>
    <n v="457486.99"/>
    <n v="360809.92"/>
    <n v="360809.92"/>
  </r>
  <r>
    <x v="2"/>
    <x v="2"/>
    <x v="16"/>
    <x v="52"/>
    <x v="49"/>
    <n v="33533.89"/>
    <n v="36053.72"/>
    <n v="44191.49"/>
    <n v="48516.74"/>
    <n v="50609.440000000002"/>
    <n v="63180.3"/>
    <n v="123937.57"/>
    <n v="86664.57"/>
    <n v="93731.28"/>
    <n v="120429.2"/>
    <n v="107711.53"/>
    <n v="111013.36"/>
  </r>
  <r>
    <x v="2"/>
    <x v="2"/>
    <x v="17"/>
    <x v="53"/>
    <x v="50"/>
    <n v="26546.7"/>
    <n v="41869.800000000003"/>
    <n v="40971.1"/>
    <n v="70639.16"/>
    <n v="30256.94"/>
    <n v="18647.18"/>
    <n v="29923.16"/>
    <n v="24948.1"/>
    <n v="36272.65"/>
    <n v="116973.62"/>
    <n v="199854.01"/>
    <n v="146750.01"/>
  </r>
  <r>
    <x v="2"/>
    <x v="2"/>
    <x v="17"/>
    <x v="54"/>
    <x v="51"/>
    <n v="10582.32"/>
    <n v="11453.53"/>
    <n v="12522.85"/>
    <n v="13057.3"/>
    <n v="14366.77"/>
    <n v="15550.89"/>
    <n v="16063.28"/>
    <n v="17491.18"/>
    <n v="19890.689999999999"/>
    <n v="92856.68"/>
    <n v="135595.97"/>
    <n v="84847.61"/>
  </r>
  <r>
    <x v="2"/>
    <x v="2"/>
    <x v="18"/>
    <x v="55"/>
    <x v="52"/>
    <n v="37739.85"/>
    <n v="42131.69"/>
    <n v="47742.55"/>
    <n v="100048.45"/>
    <n v="94979.05"/>
    <n v="50349.29"/>
    <n v="37896.959999999999"/>
    <n v="14638.22"/>
    <n v="46034.89"/>
    <n v="45280.68"/>
    <n v="36012.43"/>
    <n v="47000"/>
  </r>
  <r>
    <x v="3"/>
    <x v="3"/>
    <x v="0"/>
    <x v="56"/>
    <x v="53"/>
    <n v="3921706.24"/>
    <n v="4063795.25"/>
    <n v="5988306.4100000001"/>
    <n v="6279856.7999999998"/>
    <n v="6519135.5800000001"/>
    <n v="6759434.6500000004"/>
    <n v="6777429.6600000001"/>
    <n v="7445313.0499999998"/>
    <n v="7966516.6100000003"/>
    <n v="8460982.8800000008"/>
    <n v="9500416.2799999993"/>
    <n v="10293122.49"/>
  </r>
  <r>
    <x v="3"/>
    <x v="3"/>
    <x v="19"/>
    <x v="57"/>
    <x v="54"/>
    <n v="172085.06"/>
    <n v="278866.34000000003"/>
    <n v="249471.82"/>
    <n v="325115.99"/>
    <n v="399522.74"/>
    <n v="387744.11"/>
    <n v="342948.78"/>
    <n v="538140.23"/>
    <n v="624757.25"/>
    <n v="807180.34"/>
    <n v="851881.22"/>
    <n v="956245.31"/>
  </r>
  <r>
    <x v="3"/>
    <x v="3"/>
    <x v="12"/>
    <x v="58"/>
    <x v="55"/>
    <n v="89995.26"/>
    <n v="91462.26"/>
    <n v="99183.05"/>
    <n v="106352.76"/>
    <n v="112921.39"/>
    <n v="124807.42"/>
    <n v="142745.65"/>
    <n v="153776.9"/>
    <n v="161187.49"/>
    <n v="177487.65"/>
    <n v="182591.24"/>
    <n v="209088.88"/>
  </r>
  <r>
    <x v="3"/>
    <x v="3"/>
    <x v="12"/>
    <x v="59"/>
    <x v="56"/>
    <n v="81886.98"/>
    <n v="79958.320000000007"/>
    <n v="86370.92"/>
    <n v="90445.24"/>
    <n v="95230.59"/>
    <n v="111092.43"/>
    <n v="134304.92000000001"/>
    <n v="137986.97"/>
    <n v="142940.01"/>
    <n v="154256.28"/>
    <n v="159500"/>
    <n v="180000"/>
  </r>
  <r>
    <x v="3"/>
    <x v="3"/>
    <x v="20"/>
    <x v="60"/>
    <x v="57"/>
    <n v="4347.51"/>
    <n v="4903.24"/>
    <n v="4537.33"/>
    <n v="8749.6"/>
    <n v="9148.85"/>
    <n v="9492.19"/>
    <n v="7109.9"/>
    <n v="9445.11"/>
    <n v="12166.45"/>
    <n v="8587.4500000000007"/>
    <n v="11503.31"/>
    <n v="11186.3"/>
  </r>
  <r>
    <x v="3"/>
    <x v="3"/>
    <x v="21"/>
    <x v="61"/>
    <x v="58"/>
    <n v="76302.42"/>
    <n v="180796.24"/>
    <n v="144127.34"/>
    <n v="207697.78"/>
    <n v="275851.86"/>
    <n v="252001.86"/>
    <n v="191145.47"/>
    <n v="371338.6"/>
    <n v="447586.13"/>
    <n v="617034.53"/>
    <n v="653215.76"/>
    <n v="731222.48"/>
  </r>
  <r>
    <x v="3"/>
    <x v="3"/>
    <x v="21"/>
    <x v="62"/>
    <x v="59"/>
    <n v="708.59"/>
    <n v="1944.07"/>
    <n v="4533.6499999999996"/>
    <n v="2448.52"/>
    <n v="3817.32"/>
    <n v="1374"/>
    <n v="3019.2"/>
    <n v="3519.85"/>
    <n v="2082.8200000000002"/>
    <n v="6999.23"/>
    <n v="5977.11"/>
    <n v="10646.24"/>
  </r>
  <r>
    <x v="3"/>
    <x v="3"/>
    <x v="21"/>
    <x v="63"/>
    <x v="60"/>
    <n v="4011.18"/>
    <n v="3624.24"/>
    <n v="4135.05"/>
    <n v="4298.0600000000004"/>
    <n v="8526"/>
    <n v="12113.77"/>
    <n v="5212.24"/>
    <n v="6505.58"/>
    <n v="6592.02"/>
    <n v="6708.31"/>
    <n v="12870.32"/>
    <n v="12167.36"/>
  </r>
  <r>
    <x v="3"/>
    <x v="3"/>
    <x v="21"/>
    <x v="64"/>
    <x v="61"/>
    <n v="52768.66"/>
    <n v="68249.62"/>
    <n v="92084.800000000003"/>
    <n v="99016.57"/>
    <n v="126787.65"/>
    <n v="138894.70000000001"/>
    <n v="122449.35"/>
    <n v="297124.32"/>
    <n v="370536.16"/>
    <n v="514475.22"/>
    <n v="512183.46"/>
    <n v="512582.76"/>
  </r>
  <r>
    <x v="3"/>
    <x v="3"/>
    <x v="21"/>
    <x v="65"/>
    <x v="62"/>
    <n v="29199.79"/>
    <n v="35007.870000000003"/>
    <n v="45231.63"/>
    <n v="43285.27"/>
    <n v="52102.61"/>
    <n v="67839.86"/>
    <n v="29909.58"/>
    <n v="117231.73"/>
    <n v="159169.22"/>
    <n v="242537.91"/>
    <n v="252337.84"/>
    <n v="251950.81"/>
  </r>
  <r>
    <x v="3"/>
    <x v="3"/>
    <x v="21"/>
    <x v="66"/>
    <x v="63"/>
    <n v="5814.94"/>
    <n v="3361.02"/>
    <n v="2709.27"/>
    <n v="1836.84"/>
    <n v="3975.87"/>
    <n v="21.36"/>
    <n v="35.9"/>
    <n v="62421.99"/>
    <n v="75.44"/>
    <n v="741.31"/>
    <n v="88.05"/>
    <n v="45"/>
  </r>
  <r>
    <x v="3"/>
    <x v="3"/>
    <x v="21"/>
    <x v="67"/>
    <x v="64"/>
    <n v="16572.39"/>
    <n v="29636.400000000001"/>
    <n v="43774.48"/>
    <n v="53524.63"/>
    <n v="69760.86"/>
    <n v="70713.649999999994"/>
    <n v="92293.6"/>
    <n v="116787.77"/>
    <n v="210495.94"/>
    <n v="269865.27"/>
    <n v="258853.05"/>
    <n v="259117.56"/>
  </r>
  <r>
    <x v="3"/>
    <x v="3"/>
    <x v="21"/>
    <x v="68"/>
    <x v="65"/>
    <n v="3186.36"/>
    <n v="4036.82"/>
    <n v="5228.6499999999996"/>
    <n v="5373.08"/>
    <n v="7294.96"/>
    <n v="9221.6"/>
    <n v="6029.43"/>
    <n v="9995.41"/>
    <n v="7791.68"/>
    <n v="7157.09"/>
    <n v="6397.83"/>
    <n v="8123.9"/>
  </r>
  <r>
    <x v="3"/>
    <x v="3"/>
    <x v="21"/>
    <x v="69"/>
    <x v="66"/>
    <n v="13609.48"/>
    <n v="98628.75"/>
    <n v="32729.67"/>
    <n v="87636.37"/>
    <n v="123786.79"/>
    <n v="81044.789999999994"/>
    <n v="46793.66"/>
    <n v="40831.910000000003"/>
    <n v="1161.19"/>
    <n v="19744.18"/>
    <n v="15701.37"/>
    <n v="108746.25"/>
  </r>
  <r>
    <x v="3"/>
    <x v="3"/>
    <x v="21"/>
    <x v="70"/>
    <x v="67"/>
    <n v="7090"/>
    <n v="25700.04"/>
    <n v="26422.18"/>
    <n v="90175.35"/>
    <n v="109466.29"/>
    <n v="75721.279999999999"/>
    <n v="36042.720000000001"/>
    <n v="33488.14"/>
    <n v="3489.34"/>
    <n v="11958.48"/>
    <n v="3310"/>
    <n v="4500.0200000000004"/>
  </r>
  <r>
    <x v="3"/>
    <x v="3"/>
    <x v="22"/>
    <x v="71"/>
    <x v="68"/>
    <n v="3707699.65"/>
    <n v="3737656.97"/>
    <n v="5678823.2000000002"/>
    <n v="5872604.6299999999"/>
    <n v="6064945.3799999999"/>
    <n v="6326548.7699999996"/>
    <n v="6184635.3300000001"/>
    <n v="6645468.4000000004"/>
    <n v="7199701.1299999999"/>
    <n v="7462492.8700000001"/>
    <n v="8407558.0099999998"/>
    <n v="9038648.1600000001"/>
  </r>
  <r>
    <x v="3"/>
    <x v="3"/>
    <x v="23"/>
    <x v="72"/>
    <x v="69"/>
    <n v="41921.53"/>
    <n v="47271.94"/>
    <n v="60011.39"/>
    <n v="82136.179999999993"/>
    <n v="54667.46"/>
    <n v="45141.77"/>
    <n v="249845.55"/>
    <n v="261704.42"/>
    <n v="142058.23000000001"/>
    <n v="191309.67"/>
    <n v="240977.05"/>
    <n v="298229.02"/>
  </r>
  <r>
    <x v="3"/>
    <x v="3"/>
    <x v="23"/>
    <x v="73"/>
    <x v="70"/>
    <n v="11939.76"/>
    <n v="12504.1"/>
    <n v="17768.59"/>
    <n v="17516.169999999998"/>
    <n v="23828.76"/>
    <n v="24681.05"/>
    <n v="148803.93"/>
    <n v="185136.11"/>
    <n v="109385.35"/>
    <n v="140863.34"/>
    <n v="159512"/>
    <n v="1928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023A24-9E06-4E40-BF4C-9086A1BC1D5C}" name="Pivot_MainFlows" cacheId="0"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5" rowHeaderCaption="Years">
  <location ref="A2:E16" firstHeaderRow="0" firstDataRow="1" firstDataCol="1"/>
  <pivotFields count="9">
    <pivotField axis="axisRow" showAll="0" sortType="ascending">
      <items count="15">
        <item x="0"/>
        <item x="1"/>
        <item x="2"/>
        <item x="3"/>
        <item x="4"/>
        <item x="5"/>
        <item x="6"/>
        <item x="7"/>
        <item x="8"/>
        <item x="9"/>
        <item x="10"/>
        <item x="12"/>
        <item x="11"/>
        <item h="1" x="13"/>
        <item t="default"/>
      </items>
    </pivotField>
    <pivotField dataField="1" numFmtId="4" showAll="0">
      <items count="15">
        <item x="0"/>
        <item x="1"/>
        <item x="2"/>
        <item x="3"/>
        <item x="4"/>
        <item x="5"/>
        <item x="7"/>
        <item x="6"/>
        <item x="8"/>
        <item x="9"/>
        <item x="10"/>
        <item x="11"/>
        <item x="12"/>
        <item h="1" x="13"/>
        <item t="default"/>
      </items>
    </pivotField>
    <pivotField dataField="1" numFmtId="4" showAll="0">
      <items count="15">
        <item x="0"/>
        <item x="1"/>
        <item x="2"/>
        <item x="3"/>
        <item x="4"/>
        <item x="5"/>
        <item x="6"/>
        <item x="7"/>
        <item x="8"/>
        <item x="9"/>
        <item x="10"/>
        <item x="11"/>
        <item x="12"/>
        <item h="1" x="13"/>
        <item t="default"/>
      </items>
    </pivotField>
    <pivotField numFmtId="4" showAll="0">
      <items count="15">
        <item x="3"/>
        <item x="2"/>
        <item x="0"/>
        <item x="1"/>
        <item x="4"/>
        <item x="5"/>
        <item x="12"/>
        <item x="11"/>
        <item x="6"/>
        <item x="10"/>
        <item x="8"/>
        <item x="9"/>
        <item x="7"/>
        <item h="1" x="13"/>
        <item t="default"/>
      </items>
    </pivotField>
    <pivotField dataField="1" numFmtId="4" showAll="0">
      <items count="15">
        <item x="0"/>
        <item x="1"/>
        <item x="2"/>
        <item x="3"/>
        <item x="4"/>
        <item x="5"/>
        <item x="6"/>
        <item x="7"/>
        <item x="8"/>
        <item x="9"/>
        <item x="10"/>
        <item x="11"/>
        <item x="12"/>
        <item h="1" x="13"/>
        <item t="default"/>
      </items>
    </pivotField>
    <pivotField dataField="1" numFmtId="4" showAll="0">
      <items count="15">
        <item x="0"/>
        <item x="1"/>
        <item x="2"/>
        <item x="3"/>
        <item x="4"/>
        <item x="5"/>
        <item x="6"/>
        <item x="7"/>
        <item x="8"/>
        <item x="9"/>
        <item x="10"/>
        <item x="11"/>
        <item x="12"/>
        <item h="1" x="13"/>
        <item t="default"/>
      </items>
    </pivotField>
    <pivotField numFmtId="4" showAll="0"/>
    <pivotField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4">
    <i>
      <x/>
    </i>
    <i i="1">
      <x v="1"/>
    </i>
    <i i="2">
      <x v="2"/>
    </i>
    <i i="3">
      <x v="3"/>
    </i>
  </colItems>
  <dataFields count="4">
    <dataField name="Revenue Receipts (₹Crore)" fld="1" baseField="0" baseItem="0"/>
    <dataField name="Revenue Expenditure (₹Crore)" fld="2" baseField="0" baseItem="0"/>
    <dataField name="Capital Expenditure (₹Crore)" fld="5" baseField="0" baseItem="0"/>
    <dataField name="Capital Receipts (₹Crore)" fld="4" baseField="0" baseItem="0"/>
  </dataFields>
  <chartFormats count="2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1"/>
          </reference>
        </references>
      </pivotArea>
    </chartFormat>
    <chartFormat chart="0" format="15" series="1">
      <pivotArea type="data" outline="0" fieldPosition="0">
        <references count="1">
          <reference field="4294967294" count="1" selected="0">
            <x v="2"/>
          </reference>
        </references>
      </pivotArea>
    </chartFormat>
    <chartFormat chart="0" format="16" series="1">
      <pivotArea type="data" outline="0" fieldPosition="0">
        <references count="1">
          <reference field="4294967294" count="1" selected="0">
            <x v="3"/>
          </reference>
        </references>
      </pivotArea>
    </chartFormat>
    <chartFormat chart="25" format="21" series="1">
      <pivotArea type="data" outline="0" fieldPosition="0">
        <references count="1">
          <reference field="4294967294" count="1" selected="0">
            <x v="0"/>
          </reference>
        </references>
      </pivotArea>
    </chartFormat>
    <chartFormat chart="25" format="22" series="1">
      <pivotArea type="data" outline="0" fieldPosition="0">
        <references count="1">
          <reference field="4294967294" count="1" selected="0">
            <x v="1"/>
          </reference>
        </references>
      </pivotArea>
    </chartFormat>
    <chartFormat chart="25" format="23" series="1">
      <pivotArea type="data" outline="0" fieldPosition="0">
        <references count="1">
          <reference field="4294967294" count="1" selected="0">
            <x v="2"/>
          </reference>
        </references>
      </pivotArea>
    </chartFormat>
    <chartFormat chart="25" format="24" series="1">
      <pivotArea type="data" outline="0" fieldPosition="0">
        <references count="1">
          <reference field="4294967294" count="1" selected="0">
            <x v="3"/>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4" format="2" series="1">
      <pivotArea type="data" outline="0" fieldPosition="0">
        <references count="1">
          <reference field="4294967294" count="1" selected="0">
            <x v="2"/>
          </reference>
        </references>
      </pivotArea>
    </chartFormat>
    <chartFormat chart="34"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6DE0ED-C971-4D4A-8818-92192CD7A8A4}" name="Pivot_Defici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1:C15" firstHeaderRow="0" firstDataRow="1" firstDataCol="1"/>
  <pivotFields count="7">
    <pivotField axis="axisRow" showAll="0">
      <items count="14">
        <item x="0"/>
        <item x="1"/>
        <item x="2"/>
        <item x="3"/>
        <item x="4"/>
        <item x="5"/>
        <item x="6"/>
        <item x="7"/>
        <item x="8"/>
        <item x="9"/>
        <item x="10"/>
        <item x="12"/>
        <item x="11"/>
        <item t="default"/>
      </items>
    </pivotField>
    <pivotField numFmtId="4" showAll="0">
      <items count="14">
        <item x="0"/>
        <item x="1"/>
        <item x="2"/>
        <item x="3"/>
        <item x="4"/>
        <item x="5"/>
        <item x="7"/>
        <item x="6"/>
        <item x="8"/>
        <item x="9"/>
        <item x="10"/>
        <item x="11"/>
        <item x="12"/>
        <item t="default"/>
      </items>
    </pivotField>
    <pivotField numFmtId="4" showAll="0"/>
    <pivotField dataField="1" numFmtId="4" showAll="0">
      <items count="14">
        <item x="7"/>
        <item x="9"/>
        <item x="8"/>
        <item x="10"/>
        <item x="6"/>
        <item x="11"/>
        <item x="12"/>
        <item x="5"/>
        <item x="4"/>
        <item x="1"/>
        <item x="0"/>
        <item x="2"/>
        <item x="3"/>
        <item t="default"/>
      </items>
    </pivotField>
    <pivotField numFmtId="4" showAll="0"/>
    <pivotField numFmtId="4" showAll="0"/>
    <pivotField dataField="1" numFmtId="4"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Revenue Deficit(₹Cr)" fld="3" baseField="0" baseItem="0"/>
    <dataField name="Capital Surplus(₹Cr)"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1EE9BC-C9BF-4404-B78F-4B5C6D02493C}" name="Pivot_Tax" cacheId="2" dataOnRows="1" applyNumberFormats="0" applyBorderFormats="0" applyFontFormats="0" applyPatternFormats="0" applyAlignmentFormats="0" applyWidthHeightFormats="1" dataCaption="Year" updatedVersion="7" minRefreshableVersion="3" useAutoFormatting="1" itemPrintTitles="1" createdVersion="7" indent="0" outline="1" outlineData="1" multipleFieldFilters="0" chartFormat="12">
  <location ref="A1:K15" firstHeaderRow="1" firstDataRow="2" firstDataCol="1"/>
  <pivotFields count="17">
    <pivotField showAll="0"/>
    <pivotField showAll="0">
      <items count="2">
        <item x="0"/>
        <item t="default"/>
      </items>
    </pivotField>
    <pivotField showAll="0">
      <items count="8">
        <item x="1"/>
        <item x="6"/>
        <item x="2"/>
        <item x="3"/>
        <item x="4"/>
        <item x="5"/>
        <item x="0"/>
        <item t="default"/>
      </items>
    </pivotField>
    <pivotField axis="axisCol" showAll="0" sortType="ascending">
      <items count="18">
        <item x="5"/>
        <item x="9"/>
        <item x="14"/>
        <item h="1" x="2"/>
        <item h="1" x="4"/>
        <item x="7"/>
        <item x="6"/>
        <item x="10"/>
        <item x="12"/>
        <item x="16"/>
        <item h="1" x="3"/>
        <item h="1" x="1"/>
        <item h="1" x="13"/>
        <item h="1" x="8"/>
        <item h="1" x="11"/>
        <item h="1" x="0"/>
        <item x="15"/>
        <item t="default"/>
      </items>
    </pivotField>
    <pivotField dataField="1" numFmtId="166" showAll="0">
      <items count="15">
        <item x="4"/>
        <item x="9"/>
        <item x="8"/>
        <item x="13"/>
        <item x="12"/>
        <item x="11"/>
        <item x="7"/>
        <item x="3"/>
        <item x="6"/>
        <item x="10"/>
        <item x="5"/>
        <item x="1"/>
        <item x="2"/>
        <item x="0"/>
        <item t="default"/>
      </items>
    </pivotField>
    <pivotField dataField="1" numFmtId="166" showAll="0">
      <items count="15">
        <item x="4"/>
        <item x="9"/>
        <item x="8"/>
        <item x="13"/>
        <item x="11"/>
        <item x="12"/>
        <item x="7"/>
        <item x="3"/>
        <item x="6"/>
        <item x="10"/>
        <item x="5"/>
        <item x="1"/>
        <item x="2"/>
        <item x="0"/>
        <item t="default"/>
      </items>
    </pivotField>
    <pivotField dataField="1" numFmtId="166" showAll="0">
      <items count="15">
        <item x="4"/>
        <item x="9"/>
        <item x="8"/>
        <item x="11"/>
        <item x="13"/>
        <item x="7"/>
        <item x="12"/>
        <item x="6"/>
        <item x="3"/>
        <item x="10"/>
        <item x="5"/>
        <item x="1"/>
        <item x="0"/>
        <item x="2"/>
        <item t="default"/>
      </items>
    </pivotField>
    <pivotField dataField="1" numFmtId="166" showAll="0">
      <items count="15">
        <item x="4"/>
        <item x="9"/>
        <item x="8"/>
        <item x="11"/>
        <item x="13"/>
        <item x="7"/>
        <item x="12"/>
        <item x="6"/>
        <item x="3"/>
        <item x="5"/>
        <item x="10"/>
        <item x="1"/>
        <item x="0"/>
        <item x="2"/>
        <item t="default"/>
      </items>
    </pivotField>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s>
  <rowFields count="1">
    <field x="-2"/>
  </rowFields>
  <rowItems count="13">
    <i>
      <x/>
    </i>
    <i i="1">
      <x v="1"/>
    </i>
    <i i="2">
      <x v="2"/>
    </i>
    <i i="3">
      <x v="3"/>
    </i>
    <i i="4">
      <x v="4"/>
    </i>
    <i i="5">
      <x v="5"/>
    </i>
    <i i="6">
      <x v="6"/>
    </i>
    <i i="7">
      <x v="7"/>
    </i>
    <i i="8">
      <x v="8"/>
    </i>
    <i i="9">
      <x v="9"/>
    </i>
    <i i="10">
      <x v="10"/>
    </i>
    <i i="11">
      <x v="11"/>
    </i>
    <i i="12">
      <x v="12"/>
    </i>
  </rowItems>
  <colFields count="1">
    <field x="3"/>
  </colFields>
  <colItems count="10">
    <i>
      <x/>
    </i>
    <i>
      <x v="1"/>
    </i>
    <i>
      <x v="2"/>
    </i>
    <i>
      <x v="5"/>
    </i>
    <i>
      <x v="6"/>
    </i>
    <i>
      <x v="7"/>
    </i>
    <i>
      <x v="8"/>
    </i>
    <i>
      <x v="9"/>
    </i>
    <i>
      <x v="16"/>
    </i>
    <i t="grand">
      <x/>
    </i>
  </colItems>
  <dataFields count="13">
    <dataField name="(2013-14)" fld="4" baseField="0" baseItem="0"/>
    <dataField name="(2014-15)" fld="5" baseField="0" baseItem="0"/>
    <dataField name="( 2015-16)" fld="6" baseField="0" baseItem="0"/>
    <dataField name="(2016-17)" fld="7" baseField="0" baseItem="0"/>
    <dataField name="(2017-18)" fld="8" baseField="0" baseItem="0"/>
    <dataField name="( 2018-19)" fld="9" baseField="0" baseItem="0"/>
    <dataField name="(2019-20)" fld="10" baseField="0" baseItem="0"/>
    <dataField name="(2020-21)" fld="11" baseField="0" baseItem="0"/>
    <dataField name="(2021-22)" fld="12" baseField="0" baseItem="0"/>
    <dataField name="(2022-23)" fld="13" baseField="0" baseItem="0"/>
    <dataField name="(2023-24)" fld="14" baseField="0" baseItem="0"/>
    <dataField name="( RE 2024-25)" fld="15" baseField="0" baseItem="0"/>
    <dataField name="( BE 2025-26)" fld="16" baseField="0" baseItem="0"/>
  </dataFields>
  <chartFormats count="25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series="1">
      <pivotArea type="data" outline="0" fieldPosition="0">
        <references count="1">
          <reference field="4294967294" count="1" selected="0">
            <x v="11"/>
          </reference>
        </references>
      </pivotArea>
    </chartFormat>
    <chartFormat chart="0" format="12" series="1">
      <pivotArea type="data" outline="0" fieldPosition="0">
        <references count="1">
          <reference field="4294967294" count="1" selected="0">
            <x v="1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 chart="1" format="7" series="1">
      <pivotArea type="data" outline="0" fieldPosition="0">
        <references count="1">
          <reference field="4294967294" count="1" selected="0">
            <x v="7"/>
          </reference>
        </references>
      </pivotArea>
    </chartFormat>
    <chartFormat chart="1" format="8" series="1">
      <pivotArea type="data" outline="0" fieldPosition="0">
        <references count="1">
          <reference field="4294967294" count="1" selected="0">
            <x v="8"/>
          </reference>
        </references>
      </pivotArea>
    </chartFormat>
    <chartFormat chart="1" format="9" series="1">
      <pivotArea type="data" outline="0" fieldPosition="0">
        <references count="1">
          <reference field="4294967294" count="1" selected="0">
            <x v="9"/>
          </reference>
        </references>
      </pivotArea>
    </chartFormat>
    <chartFormat chart="1" format="10" series="1">
      <pivotArea type="data" outline="0" fieldPosition="0">
        <references count="1">
          <reference field="4294967294" count="1" selected="0">
            <x v="10"/>
          </reference>
        </references>
      </pivotArea>
    </chartFormat>
    <chartFormat chart="1" format="11" series="1">
      <pivotArea type="data" outline="0" fieldPosition="0">
        <references count="1">
          <reference field="4294967294" count="1" selected="0">
            <x v="11"/>
          </reference>
        </references>
      </pivotArea>
    </chartFormat>
    <chartFormat chart="1" format="12" series="1">
      <pivotArea type="data" outline="0" fieldPosition="0">
        <references count="1">
          <reference field="4294967294" count="1" selected="0">
            <x v="12"/>
          </reference>
        </references>
      </pivotArea>
    </chartFormat>
    <chartFormat chart="1" format="13" series="1">
      <pivotArea type="data" outline="0" fieldPosition="0">
        <references count="2">
          <reference field="4294967294" count="1" selected="0">
            <x v="0"/>
          </reference>
          <reference field="3" count="1" selected="0">
            <x v="1"/>
          </reference>
        </references>
      </pivotArea>
    </chartFormat>
    <chartFormat chart="1" format="14" series="1">
      <pivotArea type="data" outline="0" fieldPosition="0">
        <references count="2">
          <reference field="4294967294" count="1" selected="0">
            <x v="0"/>
          </reference>
          <reference field="3" count="1" selected="0">
            <x v="2"/>
          </reference>
        </references>
      </pivotArea>
    </chartFormat>
    <chartFormat chart="1" format="15" series="1">
      <pivotArea type="data" outline="0" fieldPosition="0">
        <references count="2">
          <reference field="4294967294" count="1" selected="0">
            <x v="0"/>
          </reference>
          <reference field="3" count="1" selected="0">
            <x v="5"/>
          </reference>
        </references>
      </pivotArea>
    </chartFormat>
    <chartFormat chart="1" format="16" series="1">
      <pivotArea type="data" outline="0" fieldPosition="0">
        <references count="2">
          <reference field="4294967294" count="1" selected="0">
            <x v="0"/>
          </reference>
          <reference field="3" count="1" selected="0">
            <x v="6"/>
          </reference>
        </references>
      </pivotArea>
    </chartFormat>
    <chartFormat chart="1" format="17" series="1">
      <pivotArea type="data" outline="0" fieldPosition="0">
        <references count="2">
          <reference field="4294967294" count="1" selected="0">
            <x v="0"/>
          </reference>
          <reference field="3" count="1" selected="0">
            <x v="7"/>
          </reference>
        </references>
      </pivotArea>
    </chartFormat>
    <chartFormat chart="1" format="18" series="1">
      <pivotArea type="data" outline="0" fieldPosition="0">
        <references count="2">
          <reference field="4294967294" count="1" selected="0">
            <x v="0"/>
          </reference>
          <reference field="3" count="1" selected="0">
            <x v="8"/>
          </reference>
        </references>
      </pivotArea>
    </chartFormat>
    <chartFormat chart="1" format="19" series="1">
      <pivotArea type="data" outline="0" fieldPosition="0">
        <references count="2">
          <reference field="4294967294" count="1" selected="0">
            <x v="0"/>
          </reference>
          <reference field="3" count="1" selected="0">
            <x v="9"/>
          </reference>
        </references>
      </pivotArea>
    </chartFormat>
    <chartFormat chart="1" format="20" series="1">
      <pivotArea type="data" outline="0" fieldPosition="0">
        <references count="2">
          <reference field="4294967294" count="1" selected="0">
            <x v="0"/>
          </reference>
          <reference field="3" count="1" selected="0">
            <x v="16"/>
          </reference>
        </references>
      </pivotArea>
    </chartFormat>
    <chartFormat chart="1" format="21" series="1">
      <pivotArea type="data" outline="0" fieldPosition="0">
        <references count="2">
          <reference field="4294967294" count="1" selected="0">
            <x v="0"/>
          </reference>
          <reference field="3" count="1" selected="0">
            <x v="0"/>
          </reference>
        </references>
      </pivotArea>
    </chartFormat>
    <chartFormat chart="9" format="31" series="1">
      <pivotArea type="data" outline="0" fieldPosition="0">
        <references count="2">
          <reference field="4294967294" count="1" selected="0">
            <x v="0"/>
          </reference>
          <reference field="3" count="1" selected="0">
            <x v="0"/>
          </reference>
        </references>
      </pivotArea>
    </chartFormat>
    <chartFormat chart="9" format="32" series="1">
      <pivotArea type="data" outline="0" fieldPosition="0">
        <references count="2">
          <reference field="4294967294" count="1" selected="0">
            <x v="0"/>
          </reference>
          <reference field="3" count="1" selected="0">
            <x v="1"/>
          </reference>
        </references>
      </pivotArea>
    </chartFormat>
    <chartFormat chart="9" format="33" series="1">
      <pivotArea type="data" outline="0" fieldPosition="0">
        <references count="2">
          <reference field="4294967294" count="1" selected="0">
            <x v="0"/>
          </reference>
          <reference field="3" count="1" selected="0">
            <x v="2"/>
          </reference>
        </references>
      </pivotArea>
    </chartFormat>
    <chartFormat chart="9" format="34" series="1">
      <pivotArea type="data" outline="0" fieldPosition="0">
        <references count="2">
          <reference field="4294967294" count="1" selected="0">
            <x v="0"/>
          </reference>
          <reference field="3" count="1" selected="0">
            <x v="5"/>
          </reference>
        </references>
      </pivotArea>
    </chartFormat>
    <chartFormat chart="9" format="35" series="1">
      <pivotArea type="data" outline="0" fieldPosition="0">
        <references count="2">
          <reference field="4294967294" count="1" selected="0">
            <x v="0"/>
          </reference>
          <reference field="3" count="1" selected="0">
            <x v="6"/>
          </reference>
        </references>
      </pivotArea>
    </chartFormat>
    <chartFormat chart="9" format="36" series="1">
      <pivotArea type="data" outline="0" fieldPosition="0">
        <references count="2">
          <reference field="4294967294" count="1" selected="0">
            <x v="0"/>
          </reference>
          <reference field="3" count="1" selected="0">
            <x v="7"/>
          </reference>
        </references>
      </pivotArea>
    </chartFormat>
    <chartFormat chart="9" format="37" series="1">
      <pivotArea type="data" outline="0" fieldPosition="0">
        <references count="2">
          <reference field="4294967294" count="1" selected="0">
            <x v="0"/>
          </reference>
          <reference field="3" count="1" selected="0">
            <x v="8"/>
          </reference>
        </references>
      </pivotArea>
    </chartFormat>
    <chartFormat chart="9" format="38" series="1">
      <pivotArea type="data" outline="0" fieldPosition="0">
        <references count="2">
          <reference field="4294967294" count="1" selected="0">
            <x v="0"/>
          </reference>
          <reference field="3" count="1" selected="0">
            <x v="9"/>
          </reference>
        </references>
      </pivotArea>
    </chartFormat>
    <chartFormat chart="9" format="39" series="1">
      <pivotArea type="data" outline="0" fieldPosition="0">
        <references count="2">
          <reference field="4294967294" count="1" selected="0">
            <x v="0"/>
          </reference>
          <reference field="3" count="1" selected="0">
            <x v="16"/>
          </reference>
        </references>
      </pivotArea>
    </chartFormat>
    <chartFormat chart="9" format="40" series="1">
      <pivotArea type="data" outline="0" fieldPosition="0">
        <references count="2">
          <reference field="4294967294" count="1" selected="0">
            <x v="9"/>
          </reference>
          <reference field="3" count="1" selected="0">
            <x v="0"/>
          </reference>
        </references>
      </pivotArea>
    </chartFormat>
    <chartFormat chart="9" format="41" series="1">
      <pivotArea type="data" outline="0" fieldPosition="0">
        <references count="2">
          <reference field="4294967294" count="1" selected="0">
            <x v="10"/>
          </reference>
          <reference field="3" count="1" selected="0">
            <x v="0"/>
          </reference>
        </references>
      </pivotArea>
    </chartFormat>
    <chartFormat chart="9" format="42" series="1">
      <pivotArea type="data" outline="0" fieldPosition="0">
        <references count="2">
          <reference field="4294967294" count="1" selected="0">
            <x v="11"/>
          </reference>
          <reference field="3" count="1" selected="0">
            <x v="0"/>
          </reference>
        </references>
      </pivotArea>
    </chartFormat>
    <chartFormat chart="9" format="43" series="1">
      <pivotArea type="data" outline="0" fieldPosition="0">
        <references count="2">
          <reference field="4294967294" count="1" selected="0">
            <x v="12"/>
          </reference>
          <reference field="3" count="1" selected="0">
            <x v="0"/>
          </reference>
        </references>
      </pivotArea>
    </chartFormat>
    <chartFormat chart="9" format="44" series="1">
      <pivotArea type="data" outline="0" fieldPosition="0">
        <references count="2">
          <reference field="4294967294" count="1" selected="0">
            <x v="1"/>
          </reference>
          <reference field="3" count="1" selected="0">
            <x v="1"/>
          </reference>
        </references>
      </pivotArea>
    </chartFormat>
    <chartFormat chart="9" format="45" series="1">
      <pivotArea type="data" outline="0" fieldPosition="0">
        <references count="2">
          <reference field="4294967294" count="1" selected="0">
            <x v="2"/>
          </reference>
          <reference field="3" count="1" selected="0">
            <x v="1"/>
          </reference>
        </references>
      </pivotArea>
    </chartFormat>
    <chartFormat chart="9" format="46" series="1">
      <pivotArea type="data" outline="0" fieldPosition="0">
        <references count="2">
          <reference field="4294967294" count="1" selected="0">
            <x v="3"/>
          </reference>
          <reference field="3" count="1" selected="0">
            <x v="1"/>
          </reference>
        </references>
      </pivotArea>
    </chartFormat>
    <chartFormat chart="9" format="47" series="1">
      <pivotArea type="data" outline="0" fieldPosition="0">
        <references count="2">
          <reference field="4294967294" count="1" selected="0">
            <x v="4"/>
          </reference>
          <reference field="3" count="1" selected="0">
            <x v="1"/>
          </reference>
        </references>
      </pivotArea>
    </chartFormat>
    <chartFormat chart="9" format="48" series="1">
      <pivotArea type="data" outline="0" fieldPosition="0">
        <references count="2">
          <reference field="4294967294" count="1" selected="0">
            <x v="5"/>
          </reference>
          <reference field="3" count="1" selected="0">
            <x v="1"/>
          </reference>
        </references>
      </pivotArea>
    </chartFormat>
    <chartFormat chart="9" format="49" series="1">
      <pivotArea type="data" outline="0" fieldPosition="0">
        <references count="2">
          <reference field="4294967294" count="1" selected="0">
            <x v="6"/>
          </reference>
          <reference field="3" count="1" selected="0">
            <x v="1"/>
          </reference>
        </references>
      </pivotArea>
    </chartFormat>
    <chartFormat chart="9" format="50" series="1">
      <pivotArea type="data" outline="0" fieldPosition="0">
        <references count="2">
          <reference field="4294967294" count="1" selected="0">
            <x v="7"/>
          </reference>
          <reference field="3" count="1" selected="0">
            <x v="1"/>
          </reference>
        </references>
      </pivotArea>
    </chartFormat>
    <chartFormat chart="9" format="51" series="1">
      <pivotArea type="data" outline="0" fieldPosition="0">
        <references count="2">
          <reference field="4294967294" count="1" selected="0">
            <x v="8"/>
          </reference>
          <reference field="3" count="1" selected="0">
            <x v="1"/>
          </reference>
        </references>
      </pivotArea>
    </chartFormat>
    <chartFormat chart="9" format="52" series="1">
      <pivotArea type="data" outline="0" fieldPosition="0">
        <references count="2">
          <reference field="4294967294" count="1" selected="0">
            <x v="9"/>
          </reference>
          <reference field="3" count="1" selected="0">
            <x v="1"/>
          </reference>
        </references>
      </pivotArea>
    </chartFormat>
    <chartFormat chart="9" format="53" series="1">
      <pivotArea type="data" outline="0" fieldPosition="0">
        <references count="2">
          <reference field="4294967294" count="1" selected="0">
            <x v="10"/>
          </reference>
          <reference field="3" count="1" selected="0">
            <x v="1"/>
          </reference>
        </references>
      </pivotArea>
    </chartFormat>
    <chartFormat chart="9" format="54" series="1">
      <pivotArea type="data" outline="0" fieldPosition="0">
        <references count="2">
          <reference field="4294967294" count="1" selected="0">
            <x v="11"/>
          </reference>
          <reference field="3" count="1" selected="0">
            <x v="1"/>
          </reference>
        </references>
      </pivotArea>
    </chartFormat>
    <chartFormat chart="9" format="55" series="1">
      <pivotArea type="data" outline="0" fieldPosition="0">
        <references count="2">
          <reference field="4294967294" count="1" selected="0">
            <x v="12"/>
          </reference>
          <reference field="3" count="1" selected="0">
            <x v="1"/>
          </reference>
        </references>
      </pivotArea>
    </chartFormat>
    <chartFormat chart="9" format="56" series="1">
      <pivotArea type="data" outline="0" fieldPosition="0">
        <references count="2">
          <reference field="4294967294" count="1" selected="0">
            <x v="1"/>
          </reference>
          <reference field="3" count="1" selected="0">
            <x v="2"/>
          </reference>
        </references>
      </pivotArea>
    </chartFormat>
    <chartFormat chart="9" format="57" series="1">
      <pivotArea type="data" outline="0" fieldPosition="0">
        <references count="2">
          <reference field="4294967294" count="1" selected="0">
            <x v="2"/>
          </reference>
          <reference field="3" count="1" selected="0">
            <x v="2"/>
          </reference>
        </references>
      </pivotArea>
    </chartFormat>
    <chartFormat chart="9" format="58" series="1">
      <pivotArea type="data" outline="0" fieldPosition="0">
        <references count="2">
          <reference field="4294967294" count="1" selected="0">
            <x v="3"/>
          </reference>
          <reference field="3" count="1" selected="0">
            <x v="2"/>
          </reference>
        </references>
      </pivotArea>
    </chartFormat>
    <chartFormat chart="9" format="59" series="1">
      <pivotArea type="data" outline="0" fieldPosition="0">
        <references count="2">
          <reference field="4294967294" count="1" selected="0">
            <x v="4"/>
          </reference>
          <reference field="3" count="1" selected="0">
            <x v="2"/>
          </reference>
        </references>
      </pivotArea>
    </chartFormat>
    <chartFormat chart="9" format="60" series="1">
      <pivotArea type="data" outline="0" fieldPosition="0">
        <references count="2">
          <reference field="4294967294" count="1" selected="0">
            <x v="5"/>
          </reference>
          <reference field="3" count="1" selected="0">
            <x v="2"/>
          </reference>
        </references>
      </pivotArea>
    </chartFormat>
    <chartFormat chart="9" format="61" series="1">
      <pivotArea type="data" outline="0" fieldPosition="0">
        <references count="2">
          <reference field="4294967294" count="1" selected="0">
            <x v="6"/>
          </reference>
          <reference field="3" count="1" selected="0">
            <x v="2"/>
          </reference>
        </references>
      </pivotArea>
    </chartFormat>
    <chartFormat chart="9" format="62" series="1">
      <pivotArea type="data" outline="0" fieldPosition="0">
        <references count="2">
          <reference field="4294967294" count="1" selected="0">
            <x v="7"/>
          </reference>
          <reference field="3" count="1" selected="0">
            <x v="2"/>
          </reference>
        </references>
      </pivotArea>
    </chartFormat>
    <chartFormat chart="9" format="63" series="1">
      <pivotArea type="data" outline="0" fieldPosition="0">
        <references count="2">
          <reference field="4294967294" count="1" selected="0">
            <x v="8"/>
          </reference>
          <reference field="3" count="1" selected="0">
            <x v="2"/>
          </reference>
        </references>
      </pivotArea>
    </chartFormat>
    <chartFormat chart="9" format="64" series="1">
      <pivotArea type="data" outline="0" fieldPosition="0">
        <references count="2">
          <reference field="4294967294" count="1" selected="0">
            <x v="9"/>
          </reference>
          <reference field="3" count="1" selected="0">
            <x v="2"/>
          </reference>
        </references>
      </pivotArea>
    </chartFormat>
    <chartFormat chart="9" format="65" series="1">
      <pivotArea type="data" outline="0" fieldPosition="0">
        <references count="2">
          <reference field="4294967294" count="1" selected="0">
            <x v="10"/>
          </reference>
          <reference field="3" count="1" selected="0">
            <x v="2"/>
          </reference>
        </references>
      </pivotArea>
    </chartFormat>
    <chartFormat chart="9" format="66" series="1">
      <pivotArea type="data" outline="0" fieldPosition="0">
        <references count="2">
          <reference field="4294967294" count="1" selected="0">
            <x v="11"/>
          </reference>
          <reference field="3" count="1" selected="0">
            <x v="2"/>
          </reference>
        </references>
      </pivotArea>
    </chartFormat>
    <chartFormat chart="9" format="67" series="1">
      <pivotArea type="data" outline="0" fieldPosition="0">
        <references count="2">
          <reference field="4294967294" count="1" selected="0">
            <x v="12"/>
          </reference>
          <reference field="3" count="1" selected="0">
            <x v="2"/>
          </reference>
        </references>
      </pivotArea>
    </chartFormat>
    <chartFormat chart="9" format="68" series="1">
      <pivotArea type="data" outline="0" fieldPosition="0">
        <references count="2">
          <reference field="4294967294" count="1" selected="0">
            <x v="1"/>
          </reference>
          <reference field="3" count="1" selected="0">
            <x v="5"/>
          </reference>
        </references>
      </pivotArea>
    </chartFormat>
    <chartFormat chart="9" format="69" series="1">
      <pivotArea type="data" outline="0" fieldPosition="0">
        <references count="2">
          <reference field="4294967294" count="1" selected="0">
            <x v="2"/>
          </reference>
          <reference field="3" count="1" selected="0">
            <x v="5"/>
          </reference>
        </references>
      </pivotArea>
    </chartFormat>
    <chartFormat chart="9" format="70" series="1">
      <pivotArea type="data" outline="0" fieldPosition="0">
        <references count="2">
          <reference field="4294967294" count="1" selected="0">
            <x v="3"/>
          </reference>
          <reference field="3" count="1" selected="0">
            <x v="5"/>
          </reference>
        </references>
      </pivotArea>
    </chartFormat>
    <chartFormat chart="9" format="71" series="1">
      <pivotArea type="data" outline="0" fieldPosition="0">
        <references count="2">
          <reference field="4294967294" count="1" selected="0">
            <x v="4"/>
          </reference>
          <reference field="3" count="1" selected="0">
            <x v="5"/>
          </reference>
        </references>
      </pivotArea>
    </chartFormat>
    <chartFormat chart="9" format="72" series="1">
      <pivotArea type="data" outline="0" fieldPosition="0">
        <references count="2">
          <reference field="4294967294" count="1" selected="0">
            <x v="5"/>
          </reference>
          <reference field="3" count="1" selected="0">
            <x v="5"/>
          </reference>
        </references>
      </pivotArea>
    </chartFormat>
    <chartFormat chart="9" format="73" series="1">
      <pivotArea type="data" outline="0" fieldPosition="0">
        <references count="2">
          <reference field="4294967294" count="1" selected="0">
            <x v="6"/>
          </reference>
          <reference field="3" count="1" selected="0">
            <x v="5"/>
          </reference>
        </references>
      </pivotArea>
    </chartFormat>
    <chartFormat chart="9" format="74" series="1">
      <pivotArea type="data" outline="0" fieldPosition="0">
        <references count="2">
          <reference field="4294967294" count="1" selected="0">
            <x v="7"/>
          </reference>
          <reference field="3" count="1" selected="0">
            <x v="5"/>
          </reference>
        </references>
      </pivotArea>
    </chartFormat>
    <chartFormat chart="9" format="75" series="1">
      <pivotArea type="data" outline="0" fieldPosition="0">
        <references count="2">
          <reference field="4294967294" count="1" selected="0">
            <x v="8"/>
          </reference>
          <reference field="3" count="1" selected="0">
            <x v="5"/>
          </reference>
        </references>
      </pivotArea>
    </chartFormat>
    <chartFormat chart="9" format="76" series="1">
      <pivotArea type="data" outline="0" fieldPosition="0">
        <references count="2">
          <reference field="4294967294" count="1" selected="0">
            <x v="9"/>
          </reference>
          <reference field="3" count="1" selected="0">
            <x v="5"/>
          </reference>
        </references>
      </pivotArea>
    </chartFormat>
    <chartFormat chart="9" format="77" series="1">
      <pivotArea type="data" outline="0" fieldPosition="0">
        <references count="2">
          <reference field="4294967294" count="1" selected="0">
            <x v="10"/>
          </reference>
          <reference field="3" count="1" selected="0">
            <x v="5"/>
          </reference>
        </references>
      </pivotArea>
    </chartFormat>
    <chartFormat chart="9" format="78" series="1">
      <pivotArea type="data" outline="0" fieldPosition="0">
        <references count="2">
          <reference field="4294967294" count="1" selected="0">
            <x v="11"/>
          </reference>
          <reference field="3" count="1" selected="0">
            <x v="5"/>
          </reference>
        </references>
      </pivotArea>
    </chartFormat>
    <chartFormat chart="9" format="79" series="1">
      <pivotArea type="data" outline="0" fieldPosition="0">
        <references count="2">
          <reference field="4294967294" count="1" selected="0">
            <x v="12"/>
          </reference>
          <reference field="3" count="1" selected="0">
            <x v="5"/>
          </reference>
        </references>
      </pivotArea>
    </chartFormat>
    <chartFormat chart="9" format="80" series="1">
      <pivotArea type="data" outline="0" fieldPosition="0">
        <references count="2">
          <reference field="4294967294" count="1" selected="0">
            <x v="1"/>
          </reference>
          <reference field="3" count="1" selected="0">
            <x v="6"/>
          </reference>
        </references>
      </pivotArea>
    </chartFormat>
    <chartFormat chart="9" format="81" series="1">
      <pivotArea type="data" outline="0" fieldPosition="0">
        <references count="2">
          <reference field="4294967294" count="1" selected="0">
            <x v="2"/>
          </reference>
          <reference field="3" count="1" selected="0">
            <x v="6"/>
          </reference>
        </references>
      </pivotArea>
    </chartFormat>
    <chartFormat chart="9" format="82" series="1">
      <pivotArea type="data" outline="0" fieldPosition="0">
        <references count="2">
          <reference field="4294967294" count="1" selected="0">
            <x v="3"/>
          </reference>
          <reference field="3" count="1" selected="0">
            <x v="6"/>
          </reference>
        </references>
      </pivotArea>
    </chartFormat>
    <chartFormat chart="9" format="83" series="1">
      <pivotArea type="data" outline="0" fieldPosition="0">
        <references count="2">
          <reference field="4294967294" count="1" selected="0">
            <x v="4"/>
          </reference>
          <reference field="3" count="1" selected="0">
            <x v="6"/>
          </reference>
        </references>
      </pivotArea>
    </chartFormat>
    <chartFormat chart="9" format="84" series="1">
      <pivotArea type="data" outline="0" fieldPosition="0">
        <references count="2">
          <reference field="4294967294" count="1" selected="0">
            <x v="5"/>
          </reference>
          <reference field="3" count="1" selected="0">
            <x v="6"/>
          </reference>
        </references>
      </pivotArea>
    </chartFormat>
    <chartFormat chart="9" format="85" series="1">
      <pivotArea type="data" outline="0" fieldPosition="0">
        <references count="2">
          <reference field="4294967294" count="1" selected="0">
            <x v="6"/>
          </reference>
          <reference field="3" count="1" selected="0">
            <x v="6"/>
          </reference>
        </references>
      </pivotArea>
    </chartFormat>
    <chartFormat chart="9" format="86" series="1">
      <pivotArea type="data" outline="0" fieldPosition="0">
        <references count="2">
          <reference field="4294967294" count="1" selected="0">
            <x v="7"/>
          </reference>
          <reference field="3" count="1" selected="0">
            <x v="6"/>
          </reference>
        </references>
      </pivotArea>
    </chartFormat>
    <chartFormat chart="9" format="87" series="1">
      <pivotArea type="data" outline="0" fieldPosition="0">
        <references count="2">
          <reference field="4294967294" count="1" selected="0">
            <x v="8"/>
          </reference>
          <reference field="3" count="1" selected="0">
            <x v="6"/>
          </reference>
        </references>
      </pivotArea>
    </chartFormat>
    <chartFormat chart="9" format="88" series="1">
      <pivotArea type="data" outline="0" fieldPosition="0">
        <references count="2">
          <reference field="4294967294" count="1" selected="0">
            <x v="9"/>
          </reference>
          <reference field="3" count="1" selected="0">
            <x v="6"/>
          </reference>
        </references>
      </pivotArea>
    </chartFormat>
    <chartFormat chart="9" format="89" series="1">
      <pivotArea type="data" outline="0" fieldPosition="0">
        <references count="2">
          <reference field="4294967294" count="1" selected="0">
            <x v="10"/>
          </reference>
          <reference field="3" count="1" selected="0">
            <x v="6"/>
          </reference>
        </references>
      </pivotArea>
    </chartFormat>
    <chartFormat chart="9" format="90" series="1">
      <pivotArea type="data" outline="0" fieldPosition="0">
        <references count="2">
          <reference field="4294967294" count="1" selected="0">
            <x v="11"/>
          </reference>
          <reference field="3" count="1" selected="0">
            <x v="6"/>
          </reference>
        </references>
      </pivotArea>
    </chartFormat>
    <chartFormat chart="9" format="91" series="1">
      <pivotArea type="data" outline="0" fieldPosition="0">
        <references count="2">
          <reference field="4294967294" count="1" selected="0">
            <x v="12"/>
          </reference>
          <reference field="3" count="1" selected="0">
            <x v="6"/>
          </reference>
        </references>
      </pivotArea>
    </chartFormat>
    <chartFormat chart="9" format="92" series="1">
      <pivotArea type="data" outline="0" fieldPosition="0">
        <references count="2">
          <reference field="4294967294" count="1" selected="0">
            <x v="1"/>
          </reference>
          <reference field="3" count="1" selected="0">
            <x v="7"/>
          </reference>
        </references>
      </pivotArea>
    </chartFormat>
    <chartFormat chart="9" format="93" series="1">
      <pivotArea type="data" outline="0" fieldPosition="0">
        <references count="2">
          <reference field="4294967294" count="1" selected="0">
            <x v="2"/>
          </reference>
          <reference field="3" count="1" selected="0">
            <x v="7"/>
          </reference>
        </references>
      </pivotArea>
    </chartFormat>
    <chartFormat chart="9" format="94" series="1">
      <pivotArea type="data" outline="0" fieldPosition="0">
        <references count="2">
          <reference field="4294967294" count="1" selected="0">
            <x v="3"/>
          </reference>
          <reference field="3" count="1" selected="0">
            <x v="7"/>
          </reference>
        </references>
      </pivotArea>
    </chartFormat>
    <chartFormat chart="9" format="95" series="1">
      <pivotArea type="data" outline="0" fieldPosition="0">
        <references count="2">
          <reference field="4294967294" count="1" selected="0">
            <x v="4"/>
          </reference>
          <reference field="3" count="1" selected="0">
            <x v="7"/>
          </reference>
        </references>
      </pivotArea>
    </chartFormat>
    <chartFormat chart="9" format="96" series="1">
      <pivotArea type="data" outline="0" fieldPosition="0">
        <references count="2">
          <reference field="4294967294" count="1" selected="0">
            <x v="5"/>
          </reference>
          <reference field="3" count="1" selected="0">
            <x v="7"/>
          </reference>
        </references>
      </pivotArea>
    </chartFormat>
    <chartFormat chart="9" format="97" series="1">
      <pivotArea type="data" outline="0" fieldPosition="0">
        <references count="2">
          <reference field="4294967294" count="1" selected="0">
            <x v="6"/>
          </reference>
          <reference field="3" count="1" selected="0">
            <x v="7"/>
          </reference>
        </references>
      </pivotArea>
    </chartFormat>
    <chartFormat chart="9" format="98" series="1">
      <pivotArea type="data" outline="0" fieldPosition="0">
        <references count="2">
          <reference field="4294967294" count="1" selected="0">
            <x v="7"/>
          </reference>
          <reference field="3" count="1" selected="0">
            <x v="7"/>
          </reference>
        </references>
      </pivotArea>
    </chartFormat>
    <chartFormat chart="9" format="99" series="1">
      <pivotArea type="data" outline="0" fieldPosition="0">
        <references count="2">
          <reference field="4294967294" count="1" selected="0">
            <x v="8"/>
          </reference>
          <reference field="3" count="1" selected="0">
            <x v="7"/>
          </reference>
        </references>
      </pivotArea>
    </chartFormat>
    <chartFormat chart="9" format="100" series="1">
      <pivotArea type="data" outline="0" fieldPosition="0">
        <references count="2">
          <reference field="4294967294" count="1" selected="0">
            <x v="9"/>
          </reference>
          <reference field="3" count="1" selected="0">
            <x v="7"/>
          </reference>
        </references>
      </pivotArea>
    </chartFormat>
    <chartFormat chart="9" format="101" series="1">
      <pivotArea type="data" outline="0" fieldPosition="0">
        <references count="2">
          <reference field="4294967294" count="1" selected="0">
            <x v="10"/>
          </reference>
          <reference field="3" count="1" selected="0">
            <x v="7"/>
          </reference>
        </references>
      </pivotArea>
    </chartFormat>
    <chartFormat chart="9" format="102" series="1">
      <pivotArea type="data" outline="0" fieldPosition="0">
        <references count="2">
          <reference field="4294967294" count="1" selected="0">
            <x v="11"/>
          </reference>
          <reference field="3" count="1" selected="0">
            <x v="7"/>
          </reference>
        </references>
      </pivotArea>
    </chartFormat>
    <chartFormat chart="9" format="103" series="1">
      <pivotArea type="data" outline="0" fieldPosition="0">
        <references count="2">
          <reference field="4294967294" count="1" selected="0">
            <x v="12"/>
          </reference>
          <reference field="3" count="1" selected="0">
            <x v="7"/>
          </reference>
        </references>
      </pivotArea>
    </chartFormat>
    <chartFormat chart="9" format="104" series="1">
      <pivotArea type="data" outline="0" fieldPosition="0">
        <references count="2">
          <reference field="4294967294" count="1" selected="0">
            <x v="1"/>
          </reference>
          <reference field="3" count="1" selected="0">
            <x v="8"/>
          </reference>
        </references>
      </pivotArea>
    </chartFormat>
    <chartFormat chart="9" format="105" series="1">
      <pivotArea type="data" outline="0" fieldPosition="0">
        <references count="2">
          <reference field="4294967294" count="1" selected="0">
            <x v="2"/>
          </reference>
          <reference field="3" count="1" selected="0">
            <x v="8"/>
          </reference>
        </references>
      </pivotArea>
    </chartFormat>
    <chartFormat chart="9" format="106" series="1">
      <pivotArea type="data" outline="0" fieldPosition="0">
        <references count="2">
          <reference field="4294967294" count="1" selected="0">
            <x v="3"/>
          </reference>
          <reference field="3" count="1" selected="0">
            <x v="8"/>
          </reference>
        </references>
      </pivotArea>
    </chartFormat>
    <chartFormat chart="9" format="107" series="1">
      <pivotArea type="data" outline="0" fieldPosition="0">
        <references count="2">
          <reference field="4294967294" count="1" selected="0">
            <x v="4"/>
          </reference>
          <reference field="3" count="1" selected="0">
            <x v="8"/>
          </reference>
        </references>
      </pivotArea>
    </chartFormat>
    <chartFormat chart="9" format="108" series="1">
      <pivotArea type="data" outline="0" fieldPosition="0">
        <references count="2">
          <reference field="4294967294" count="1" selected="0">
            <x v="5"/>
          </reference>
          <reference field="3" count="1" selected="0">
            <x v="8"/>
          </reference>
        </references>
      </pivotArea>
    </chartFormat>
    <chartFormat chart="9" format="109" series="1">
      <pivotArea type="data" outline="0" fieldPosition="0">
        <references count="2">
          <reference field="4294967294" count="1" selected="0">
            <x v="6"/>
          </reference>
          <reference field="3" count="1" selected="0">
            <x v="8"/>
          </reference>
        </references>
      </pivotArea>
    </chartFormat>
    <chartFormat chart="9" format="110" series="1">
      <pivotArea type="data" outline="0" fieldPosition="0">
        <references count="2">
          <reference field="4294967294" count="1" selected="0">
            <x v="7"/>
          </reference>
          <reference field="3" count="1" selected="0">
            <x v="8"/>
          </reference>
        </references>
      </pivotArea>
    </chartFormat>
    <chartFormat chart="9" format="111" series="1">
      <pivotArea type="data" outline="0" fieldPosition="0">
        <references count="2">
          <reference field="4294967294" count="1" selected="0">
            <x v="8"/>
          </reference>
          <reference field="3" count="1" selected="0">
            <x v="8"/>
          </reference>
        </references>
      </pivotArea>
    </chartFormat>
    <chartFormat chart="9" format="112" series="1">
      <pivotArea type="data" outline="0" fieldPosition="0">
        <references count="2">
          <reference field="4294967294" count="1" selected="0">
            <x v="9"/>
          </reference>
          <reference field="3" count="1" selected="0">
            <x v="8"/>
          </reference>
        </references>
      </pivotArea>
    </chartFormat>
    <chartFormat chart="9" format="113" series="1">
      <pivotArea type="data" outline="0" fieldPosition="0">
        <references count="2">
          <reference field="4294967294" count="1" selected="0">
            <x v="10"/>
          </reference>
          <reference field="3" count="1" selected="0">
            <x v="8"/>
          </reference>
        </references>
      </pivotArea>
    </chartFormat>
    <chartFormat chart="9" format="114" series="1">
      <pivotArea type="data" outline="0" fieldPosition="0">
        <references count="2">
          <reference field="4294967294" count="1" selected="0">
            <x v="11"/>
          </reference>
          <reference field="3" count="1" selected="0">
            <x v="8"/>
          </reference>
        </references>
      </pivotArea>
    </chartFormat>
    <chartFormat chart="9" format="115" series="1">
      <pivotArea type="data" outline="0" fieldPosition="0">
        <references count="2">
          <reference field="4294967294" count="1" selected="0">
            <x v="12"/>
          </reference>
          <reference field="3" count="1" selected="0">
            <x v="8"/>
          </reference>
        </references>
      </pivotArea>
    </chartFormat>
    <chartFormat chart="9" format="116" series="1">
      <pivotArea type="data" outline="0" fieldPosition="0">
        <references count="2">
          <reference field="4294967294" count="1" selected="0">
            <x v="1"/>
          </reference>
          <reference field="3" count="1" selected="0">
            <x v="9"/>
          </reference>
        </references>
      </pivotArea>
    </chartFormat>
    <chartFormat chart="9" format="117" series="1">
      <pivotArea type="data" outline="0" fieldPosition="0">
        <references count="2">
          <reference field="4294967294" count="1" selected="0">
            <x v="2"/>
          </reference>
          <reference field="3" count="1" selected="0">
            <x v="9"/>
          </reference>
        </references>
      </pivotArea>
    </chartFormat>
    <chartFormat chart="9" format="118" series="1">
      <pivotArea type="data" outline="0" fieldPosition="0">
        <references count="2">
          <reference field="4294967294" count="1" selected="0">
            <x v="3"/>
          </reference>
          <reference field="3" count="1" selected="0">
            <x v="9"/>
          </reference>
        </references>
      </pivotArea>
    </chartFormat>
    <chartFormat chart="9" format="119" series="1">
      <pivotArea type="data" outline="0" fieldPosition="0">
        <references count="2">
          <reference field="4294967294" count="1" selected="0">
            <x v="4"/>
          </reference>
          <reference field="3" count="1" selected="0">
            <x v="9"/>
          </reference>
        </references>
      </pivotArea>
    </chartFormat>
    <chartFormat chart="9" format="120" series="1">
      <pivotArea type="data" outline="0" fieldPosition="0">
        <references count="2">
          <reference field="4294967294" count="1" selected="0">
            <x v="5"/>
          </reference>
          <reference field="3" count="1" selected="0">
            <x v="9"/>
          </reference>
        </references>
      </pivotArea>
    </chartFormat>
    <chartFormat chart="9" format="121" series="1">
      <pivotArea type="data" outline="0" fieldPosition="0">
        <references count="2">
          <reference field="4294967294" count="1" selected="0">
            <x v="6"/>
          </reference>
          <reference field="3" count="1" selected="0">
            <x v="9"/>
          </reference>
        </references>
      </pivotArea>
    </chartFormat>
    <chartFormat chart="9" format="122" series="1">
      <pivotArea type="data" outline="0" fieldPosition="0">
        <references count="2">
          <reference field="4294967294" count="1" selected="0">
            <x v="7"/>
          </reference>
          <reference field="3" count="1" selected="0">
            <x v="9"/>
          </reference>
        </references>
      </pivotArea>
    </chartFormat>
    <chartFormat chart="9" format="123" series="1">
      <pivotArea type="data" outline="0" fieldPosition="0">
        <references count="2">
          <reference field="4294967294" count="1" selected="0">
            <x v="8"/>
          </reference>
          <reference field="3" count="1" selected="0">
            <x v="9"/>
          </reference>
        </references>
      </pivotArea>
    </chartFormat>
    <chartFormat chart="9" format="124" series="1">
      <pivotArea type="data" outline="0" fieldPosition="0">
        <references count="2">
          <reference field="4294967294" count="1" selected="0">
            <x v="9"/>
          </reference>
          <reference field="3" count="1" selected="0">
            <x v="9"/>
          </reference>
        </references>
      </pivotArea>
    </chartFormat>
    <chartFormat chart="9" format="125" series="1">
      <pivotArea type="data" outline="0" fieldPosition="0">
        <references count="2">
          <reference field="4294967294" count="1" selected="0">
            <x v="10"/>
          </reference>
          <reference field="3" count="1" selected="0">
            <x v="9"/>
          </reference>
        </references>
      </pivotArea>
    </chartFormat>
    <chartFormat chart="9" format="126" series="1">
      <pivotArea type="data" outline="0" fieldPosition="0">
        <references count="2">
          <reference field="4294967294" count="1" selected="0">
            <x v="11"/>
          </reference>
          <reference field="3" count="1" selected="0">
            <x v="9"/>
          </reference>
        </references>
      </pivotArea>
    </chartFormat>
    <chartFormat chart="9" format="127" series="1">
      <pivotArea type="data" outline="0" fieldPosition="0">
        <references count="2">
          <reference field="4294967294" count="1" selected="0">
            <x v="12"/>
          </reference>
          <reference field="3" count="1" selected="0">
            <x v="9"/>
          </reference>
        </references>
      </pivotArea>
    </chartFormat>
    <chartFormat chart="9" format="128" series="1">
      <pivotArea type="data" outline="0" fieldPosition="0">
        <references count="2">
          <reference field="4294967294" count="1" selected="0">
            <x v="1"/>
          </reference>
          <reference field="3" count="1" selected="0">
            <x v="16"/>
          </reference>
        </references>
      </pivotArea>
    </chartFormat>
    <chartFormat chart="9" format="129" series="1">
      <pivotArea type="data" outline="0" fieldPosition="0">
        <references count="2">
          <reference field="4294967294" count="1" selected="0">
            <x v="2"/>
          </reference>
          <reference field="3" count="1" selected="0">
            <x v="16"/>
          </reference>
        </references>
      </pivotArea>
    </chartFormat>
    <chartFormat chart="9" format="130" series="1">
      <pivotArea type="data" outline="0" fieldPosition="0">
        <references count="2">
          <reference field="4294967294" count="1" selected="0">
            <x v="3"/>
          </reference>
          <reference field="3" count="1" selected="0">
            <x v="16"/>
          </reference>
        </references>
      </pivotArea>
    </chartFormat>
    <chartFormat chart="9" format="131" series="1">
      <pivotArea type="data" outline="0" fieldPosition="0">
        <references count="2">
          <reference field="4294967294" count="1" selected="0">
            <x v="4"/>
          </reference>
          <reference field="3" count="1" selected="0">
            <x v="16"/>
          </reference>
        </references>
      </pivotArea>
    </chartFormat>
    <chartFormat chart="9" format="132" series="1">
      <pivotArea type="data" outline="0" fieldPosition="0">
        <references count="2">
          <reference field="4294967294" count="1" selected="0">
            <x v="5"/>
          </reference>
          <reference field="3" count="1" selected="0">
            <x v="16"/>
          </reference>
        </references>
      </pivotArea>
    </chartFormat>
    <chartFormat chart="9" format="133" series="1">
      <pivotArea type="data" outline="0" fieldPosition="0">
        <references count="2">
          <reference field="4294967294" count="1" selected="0">
            <x v="6"/>
          </reference>
          <reference field="3" count="1" selected="0">
            <x v="16"/>
          </reference>
        </references>
      </pivotArea>
    </chartFormat>
    <chartFormat chart="9" format="134" series="1">
      <pivotArea type="data" outline="0" fieldPosition="0">
        <references count="2">
          <reference field="4294967294" count="1" selected="0">
            <x v="7"/>
          </reference>
          <reference field="3" count="1" selected="0">
            <x v="16"/>
          </reference>
        </references>
      </pivotArea>
    </chartFormat>
    <chartFormat chart="9" format="135" series="1">
      <pivotArea type="data" outline="0" fieldPosition="0">
        <references count="2">
          <reference field="4294967294" count="1" selected="0">
            <x v="8"/>
          </reference>
          <reference field="3" count="1" selected="0">
            <x v="16"/>
          </reference>
        </references>
      </pivotArea>
    </chartFormat>
    <chartFormat chart="9" format="136" series="1">
      <pivotArea type="data" outline="0" fieldPosition="0">
        <references count="2">
          <reference field="4294967294" count="1" selected="0">
            <x v="9"/>
          </reference>
          <reference field="3" count="1" selected="0">
            <x v="16"/>
          </reference>
        </references>
      </pivotArea>
    </chartFormat>
    <chartFormat chart="9" format="137" series="1">
      <pivotArea type="data" outline="0" fieldPosition="0">
        <references count="2">
          <reference field="4294967294" count="1" selected="0">
            <x v="10"/>
          </reference>
          <reference field="3" count="1" selected="0">
            <x v="16"/>
          </reference>
        </references>
      </pivotArea>
    </chartFormat>
    <chartFormat chart="9" format="138" series="1">
      <pivotArea type="data" outline="0" fieldPosition="0">
        <references count="2">
          <reference field="4294967294" count="1" selected="0">
            <x v="11"/>
          </reference>
          <reference field="3" count="1" selected="0">
            <x v="16"/>
          </reference>
        </references>
      </pivotArea>
    </chartFormat>
    <chartFormat chart="9" format="139" series="1">
      <pivotArea type="data" outline="0" fieldPosition="0">
        <references count="2">
          <reference field="4294967294" count="1" selected="0">
            <x v="12"/>
          </reference>
          <reference field="3" count="1" selected="0">
            <x v="16"/>
          </reference>
        </references>
      </pivotArea>
    </chartFormat>
    <chartFormat chart="9" format="140" series="1">
      <pivotArea type="data" outline="0" fieldPosition="0">
        <references count="2">
          <reference field="4294967294" count="1" selected="0">
            <x v="1"/>
          </reference>
          <reference field="3" count="1" selected="0">
            <x v="0"/>
          </reference>
        </references>
      </pivotArea>
    </chartFormat>
    <chartFormat chart="9" format="141" series="1">
      <pivotArea type="data" outline="0" fieldPosition="0">
        <references count="2">
          <reference field="4294967294" count="1" selected="0">
            <x v="2"/>
          </reference>
          <reference field="3" count="1" selected="0">
            <x v="0"/>
          </reference>
        </references>
      </pivotArea>
    </chartFormat>
    <chartFormat chart="9" format="142" series="1">
      <pivotArea type="data" outline="0" fieldPosition="0">
        <references count="2">
          <reference field="4294967294" count="1" selected="0">
            <x v="3"/>
          </reference>
          <reference field="3" count="1" selected="0">
            <x v="0"/>
          </reference>
        </references>
      </pivotArea>
    </chartFormat>
    <chartFormat chart="9" format="143" series="1">
      <pivotArea type="data" outline="0" fieldPosition="0">
        <references count="2">
          <reference field="4294967294" count="1" selected="0">
            <x v="4"/>
          </reference>
          <reference field="3" count="1" selected="0">
            <x v="0"/>
          </reference>
        </references>
      </pivotArea>
    </chartFormat>
    <chartFormat chart="9" format="144" series="1">
      <pivotArea type="data" outline="0" fieldPosition="0">
        <references count="2">
          <reference field="4294967294" count="1" selected="0">
            <x v="5"/>
          </reference>
          <reference field="3" count="1" selected="0">
            <x v="0"/>
          </reference>
        </references>
      </pivotArea>
    </chartFormat>
    <chartFormat chart="9" format="145" series="1">
      <pivotArea type="data" outline="0" fieldPosition="0">
        <references count="2">
          <reference field="4294967294" count="1" selected="0">
            <x v="6"/>
          </reference>
          <reference field="3" count="1" selected="0">
            <x v="0"/>
          </reference>
        </references>
      </pivotArea>
    </chartFormat>
    <chartFormat chart="9" format="146" series="1">
      <pivotArea type="data" outline="0" fieldPosition="0">
        <references count="2">
          <reference field="4294967294" count="1" selected="0">
            <x v="7"/>
          </reference>
          <reference field="3" count="1" selected="0">
            <x v="0"/>
          </reference>
        </references>
      </pivotArea>
    </chartFormat>
    <chartFormat chart="9" format="147" series="1">
      <pivotArea type="data" outline="0" fieldPosition="0">
        <references count="2">
          <reference field="4294967294" count="1" selected="0">
            <x v="8"/>
          </reference>
          <reference field="3" count="1" selected="0">
            <x v="0"/>
          </reference>
        </references>
      </pivotArea>
    </chartFormat>
    <chartFormat chart="1" format="22" series="1">
      <pivotArea type="data" outline="0" fieldPosition="0">
        <references count="2">
          <reference field="4294967294" count="1" selected="0">
            <x v="9"/>
          </reference>
          <reference field="3" count="1" selected="0">
            <x v="0"/>
          </reference>
        </references>
      </pivotArea>
    </chartFormat>
    <chartFormat chart="1" format="23" series="1">
      <pivotArea type="data" outline="0" fieldPosition="0">
        <references count="2">
          <reference field="4294967294" count="1" selected="0">
            <x v="10"/>
          </reference>
          <reference field="3" count="1" selected="0">
            <x v="0"/>
          </reference>
        </references>
      </pivotArea>
    </chartFormat>
    <chartFormat chart="1" format="24" series="1">
      <pivotArea type="data" outline="0" fieldPosition="0">
        <references count="2">
          <reference field="4294967294" count="1" selected="0">
            <x v="11"/>
          </reference>
          <reference field="3" count="1" selected="0">
            <x v="0"/>
          </reference>
        </references>
      </pivotArea>
    </chartFormat>
    <chartFormat chart="1" format="25" series="1">
      <pivotArea type="data" outline="0" fieldPosition="0">
        <references count="2">
          <reference field="4294967294" count="1" selected="0">
            <x v="12"/>
          </reference>
          <reference field="3" count="1" selected="0">
            <x v="0"/>
          </reference>
        </references>
      </pivotArea>
    </chartFormat>
    <chartFormat chart="1" format="26" series="1">
      <pivotArea type="data" outline="0" fieldPosition="0">
        <references count="2">
          <reference field="4294967294" count="1" selected="0">
            <x v="1"/>
          </reference>
          <reference field="3" count="1" selected="0">
            <x v="1"/>
          </reference>
        </references>
      </pivotArea>
    </chartFormat>
    <chartFormat chart="1" format="27" series="1">
      <pivotArea type="data" outline="0" fieldPosition="0">
        <references count="2">
          <reference field="4294967294" count="1" selected="0">
            <x v="2"/>
          </reference>
          <reference field="3" count="1" selected="0">
            <x v="1"/>
          </reference>
        </references>
      </pivotArea>
    </chartFormat>
    <chartFormat chart="1" format="28" series="1">
      <pivotArea type="data" outline="0" fieldPosition="0">
        <references count="2">
          <reference field="4294967294" count="1" selected="0">
            <x v="3"/>
          </reference>
          <reference field="3" count="1" selected="0">
            <x v="1"/>
          </reference>
        </references>
      </pivotArea>
    </chartFormat>
    <chartFormat chart="1" format="29" series="1">
      <pivotArea type="data" outline="0" fieldPosition="0">
        <references count="2">
          <reference field="4294967294" count="1" selected="0">
            <x v="4"/>
          </reference>
          <reference field="3" count="1" selected="0">
            <x v="1"/>
          </reference>
        </references>
      </pivotArea>
    </chartFormat>
    <chartFormat chart="1" format="30" series="1">
      <pivotArea type="data" outline="0" fieldPosition="0">
        <references count="2">
          <reference field="4294967294" count="1" selected="0">
            <x v="5"/>
          </reference>
          <reference field="3" count="1" selected="0">
            <x v="1"/>
          </reference>
        </references>
      </pivotArea>
    </chartFormat>
    <chartFormat chart="1" format="31" series="1">
      <pivotArea type="data" outline="0" fieldPosition="0">
        <references count="2">
          <reference field="4294967294" count="1" selected="0">
            <x v="6"/>
          </reference>
          <reference field="3" count="1" selected="0">
            <x v="1"/>
          </reference>
        </references>
      </pivotArea>
    </chartFormat>
    <chartFormat chart="1" format="32" series="1">
      <pivotArea type="data" outline="0" fieldPosition="0">
        <references count="2">
          <reference field="4294967294" count="1" selected="0">
            <x v="7"/>
          </reference>
          <reference field="3" count="1" selected="0">
            <x v="1"/>
          </reference>
        </references>
      </pivotArea>
    </chartFormat>
    <chartFormat chart="1" format="33" series="1">
      <pivotArea type="data" outline="0" fieldPosition="0">
        <references count="2">
          <reference field="4294967294" count="1" selected="0">
            <x v="8"/>
          </reference>
          <reference field="3" count="1" selected="0">
            <x v="1"/>
          </reference>
        </references>
      </pivotArea>
    </chartFormat>
    <chartFormat chart="1" format="34" series="1">
      <pivotArea type="data" outline="0" fieldPosition="0">
        <references count="2">
          <reference field="4294967294" count="1" selected="0">
            <x v="9"/>
          </reference>
          <reference field="3" count="1" selected="0">
            <x v="1"/>
          </reference>
        </references>
      </pivotArea>
    </chartFormat>
    <chartFormat chart="1" format="35" series="1">
      <pivotArea type="data" outline="0" fieldPosition="0">
        <references count="2">
          <reference field="4294967294" count="1" selected="0">
            <x v="10"/>
          </reference>
          <reference field="3" count="1" selected="0">
            <x v="1"/>
          </reference>
        </references>
      </pivotArea>
    </chartFormat>
    <chartFormat chart="1" format="36" series="1">
      <pivotArea type="data" outline="0" fieldPosition="0">
        <references count="2">
          <reference field="4294967294" count="1" selected="0">
            <x v="11"/>
          </reference>
          <reference field="3" count="1" selected="0">
            <x v="1"/>
          </reference>
        </references>
      </pivotArea>
    </chartFormat>
    <chartFormat chart="1" format="37" series="1">
      <pivotArea type="data" outline="0" fieldPosition="0">
        <references count="2">
          <reference field="4294967294" count="1" selected="0">
            <x v="12"/>
          </reference>
          <reference field="3" count="1" selected="0">
            <x v="1"/>
          </reference>
        </references>
      </pivotArea>
    </chartFormat>
    <chartFormat chart="1" format="38" series="1">
      <pivotArea type="data" outline="0" fieldPosition="0">
        <references count="2">
          <reference field="4294967294" count="1" selected="0">
            <x v="1"/>
          </reference>
          <reference field="3" count="1" selected="0">
            <x v="2"/>
          </reference>
        </references>
      </pivotArea>
    </chartFormat>
    <chartFormat chart="1" format="39" series="1">
      <pivotArea type="data" outline="0" fieldPosition="0">
        <references count="2">
          <reference field="4294967294" count="1" selected="0">
            <x v="2"/>
          </reference>
          <reference field="3" count="1" selected="0">
            <x v="2"/>
          </reference>
        </references>
      </pivotArea>
    </chartFormat>
    <chartFormat chart="1" format="40" series="1">
      <pivotArea type="data" outline="0" fieldPosition="0">
        <references count="2">
          <reference field="4294967294" count="1" selected="0">
            <x v="3"/>
          </reference>
          <reference field="3" count="1" selected="0">
            <x v="2"/>
          </reference>
        </references>
      </pivotArea>
    </chartFormat>
    <chartFormat chart="1" format="41" series="1">
      <pivotArea type="data" outline="0" fieldPosition="0">
        <references count="2">
          <reference field="4294967294" count="1" selected="0">
            <x v="4"/>
          </reference>
          <reference field="3" count="1" selected="0">
            <x v="2"/>
          </reference>
        </references>
      </pivotArea>
    </chartFormat>
    <chartFormat chart="1" format="42" series="1">
      <pivotArea type="data" outline="0" fieldPosition="0">
        <references count="2">
          <reference field="4294967294" count="1" selected="0">
            <x v="5"/>
          </reference>
          <reference field="3" count="1" selected="0">
            <x v="2"/>
          </reference>
        </references>
      </pivotArea>
    </chartFormat>
    <chartFormat chart="1" format="43" series="1">
      <pivotArea type="data" outline="0" fieldPosition="0">
        <references count="2">
          <reference field="4294967294" count="1" selected="0">
            <x v="6"/>
          </reference>
          <reference field="3" count="1" selected="0">
            <x v="2"/>
          </reference>
        </references>
      </pivotArea>
    </chartFormat>
    <chartFormat chart="1" format="44" series="1">
      <pivotArea type="data" outline="0" fieldPosition="0">
        <references count="2">
          <reference field="4294967294" count="1" selected="0">
            <x v="7"/>
          </reference>
          <reference field="3" count="1" selected="0">
            <x v="2"/>
          </reference>
        </references>
      </pivotArea>
    </chartFormat>
    <chartFormat chart="1" format="45" series="1">
      <pivotArea type="data" outline="0" fieldPosition="0">
        <references count="2">
          <reference field="4294967294" count="1" selected="0">
            <x v="8"/>
          </reference>
          <reference field="3" count="1" selected="0">
            <x v="2"/>
          </reference>
        </references>
      </pivotArea>
    </chartFormat>
    <chartFormat chart="1" format="46" series="1">
      <pivotArea type="data" outline="0" fieldPosition="0">
        <references count="2">
          <reference field="4294967294" count="1" selected="0">
            <x v="9"/>
          </reference>
          <reference field="3" count="1" selected="0">
            <x v="2"/>
          </reference>
        </references>
      </pivotArea>
    </chartFormat>
    <chartFormat chart="1" format="47" series="1">
      <pivotArea type="data" outline="0" fieldPosition="0">
        <references count="2">
          <reference field="4294967294" count="1" selected="0">
            <x v="10"/>
          </reference>
          <reference field="3" count="1" selected="0">
            <x v="2"/>
          </reference>
        </references>
      </pivotArea>
    </chartFormat>
    <chartFormat chart="1" format="48" series="1">
      <pivotArea type="data" outline="0" fieldPosition="0">
        <references count="2">
          <reference field="4294967294" count="1" selected="0">
            <x v="11"/>
          </reference>
          <reference field="3" count="1" selected="0">
            <x v="2"/>
          </reference>
        </references>
      </pivotArea>
    </chartFormat>
    <chartFormat chart="1" format="49" series="1">
      <pivotArea type="data" outline="0" fieldPosition="0">
        <references count="2">
          <reference field="4294967294" count="1" selected="0">
            <x v="12"/>
          </reference>
          <reference field="3" count="1" selected="0">
            <x v="2"/>
          </reference>
        </references>
      </pivotArea>
    </chartFormat>
    <chartFormat chart="1" format="50" series="1">
      <pivotArea type="data" outline="0" fieldPosition="0">
        <references count="2">
          <reference field="4294967294" count="1" selected="0">
            <x v="1"/>
          </reference>
          <reference field="3" count="1" selected="0">
            <x v="5"/>
          </reference>
        </references>
      </pivotArea>
    </chartFormat>
    <chartFormat chart="1" format="51" series="1">
      <pivotArea type="data" outline="0" fieldPosition="0">
        <references count="2">
          <reference field="4294967294" count="1" selected="0">
            <x v="2"/>
          </reference>
          <reference field="3" count="1" selected="0">
            <x v="5"/>
          </reference>
        </references>
      </pivotArea>
    </chartFormat>
    <chartFormat chart="1" format="52" series="1">
      <pivotArea type="data" outline="0" fieldPosition="0">
        <references count="2">
          <reference field="4294967294" count="1" selected="0">
            <x v="3"/>
          </reference>
          <reference field="3" count="1" selected="0">
            <x v="5"/>
          </reference>
        </references>
      </pivotArea>
    </chartFormat>
    <chartFormat chart="1" format="53" series="1">
      <pivotArea type="data" outline="0" fieldPosition="0">
        <references count="2">
          <reference field="4294967294" count="1" selected="0">
            <x v="4"/>
          </reference>
          <reference field="3" count="1" selected="0">
            <x v="5"/>
          </reference>
        </references>
      </pivotArea>
    </chartFormat>
    <chartFormat chart="1" format="54" series="1">
      <pivotArea type="data" outline="0" fieldPosition="0">
        <references count="2">
          <reference field="4294967294" count="1" selected="0">
            <x v="5"/>
          </reference>
          <reference field="3" count="1" selected="0">
            <x v="5"/>
          </reference>
        </references>
      </pivotArea>
    </chartFormat>
    <chartFormat chart="1" format="55" series="1">
      <pivotArea type="data" outline="0" fieldPosition="0">
        <references count="2">
          <reference field="4294967294" count="1" selected="0">
            <x v="6"/>
          </reference>
          <reference field="3" count="1" selected="0">
            <x v="5"/>
          </reference>
        </references>
      </pivotArea>
    </chartFormat>
    <chartFormat chart="1" format="56" series="1">
      <pivotArea type="data" outline="0" fieldPosition="0">
        <references count="2">
          <reference field="4294967294" count="1" selected="0">
            <x v="7"/>
          </reference>
          <reference field="3" count="1" selected="0">
            <x v="5"/>
          </reference>
        </references>
      </pivotArea>
    </chartFormat>
    <chartFormat chart="1" format="57" series="1">
      <pivotArea type="data" outline="0" fieldPosition="0">
        <references count="2">
          <reference field="4294967294" count="1" selected="0">
            <x v="8"/>
          </reference>
          <reference field="3" count="1" selected="0">
            <x v="5"/>
          </reference>
        </references>
      </pivotArea>
    </chartFormat>
    <chartFormat chart="1" format="58" series="1">
      <pivotArea type="data" outline="0" fieldPosition="0">
        <references count="2">
          <reference field="4294967294" count="1" selected="0">
            <x v="9"/>
          </reference>
          <reference field="3" count="1" selected="0">
            <x v="5"/>
          </reference>
        </references>
      </pivotArea>
    </chartFormat>
    <chartFormat chart="1" format="59" series="1">
      <pivotArea type="data" outline="0" fieldPosition="0">
        <references count="2">
          <reference field="4294967294" count="1" selected="0">
            <x v="10"/>
          </reference>
          <reference field="3" count="1" selected="0">
            <x v="5"/>
          </reference>
        </references>
      </pivotArea>
    </chartFormat>
    <chartFormat chart="1" format="60" series="1">
      <pivotArea type="data" outline="0" fieldPosition="0">
        <references count="2">
          <reference field="4294967294" count="1" selected="0">
            <x v="11"/>
          </reference>
          <reference field="3" count="1" selected="0">
            <x v="5"/>
          </reference>
        </references>
      </pivotArea>
    </chartFormat>
    <chartFormat chart="1" format="61" series="1">
      <pivotArea type="data" outline="0" fieldPosition="0">
        <references count="2">
          <reference field="4294967294" count="1" selected="0">
            <x v="12"/>
          </reference>
          <reference field="3" count="1" selected="0">
            <x v="5"/>
          </reference>
        </references>
      </pivotArea>
    </chartFormat>
    <chartFormat chart="1" format="62" series="1">
      <pivotArea type="data" outline="0" fieldPosition="0">
        <references count="2">
          <reference field="4294967294" count="1" selected="0">
            <x v="1"/>
          </reference>
          <reference field="3" count="1" selected="0">
            <x v="6"/>
          </reference>
        </references>
      </pivotArea>
    </chartFormat>
    <chartFormat chart="1" format="63" series="1">
      <pivotArea type="data" outline="0" fieldPosition="0">
        <references count="2">
          <reference field="4294967294" count="1" selected="0">
            <x v="2"/>
          </reference>
          <reference field="3" count="1" selected="0">
            <x v="6"/>
          </reference>
        </references>
      </pivotArea>
    </chartFormat>
    <chartFormat chart="1" format="64" series="1">
      <pivotArea type="data" outline="0" fieldPosition="0">
        <references count="2">
          <reference field="4294967294" count="1" selected="0">
            <x v="3"/>
          </reference>
          <reference field="3" count="1" selected="0">
            <x v="6"/>
          </reference>
        </references>
      </pivotArea>
    </chartFormat>
    <chartFormat chart="1" format="65" series="1">
      <pivotArea type="data" outline="0" fieldPosition="0">
        <references count="2">
          <reference field="4294967294" count="1" selected="0">
            <x v="4"/>
          </reference>
          <reference field="3" count="1" selected="0">
            <x v="6"/>
          </reference>
        </references>
      </pivotArea>
    </chartFormat>
    <chartFormat chart="1" format="66" series="1">
      <pivotArea type="data" outline="0" fieldPosition="0">
        <references count="2">
          <reference field="4294967294" count="1" selected="0">
            <x v="5"/>
          </reference>
          <reference field="3" count="1" selected="0">
            <x v="6"/>
          </reference>
        </references>
      </pivotArea>
    </chartFormat>
    <chartFormat chart="1" format="67" series="1">
      <pivotArea type="data" outline="0" fieldPosition="0">
        <references count="2">
          <reference field="4294967294" count="1" selected="0">
            <x v="6"/>
          </reference>
          <reference field="3" count="1" selected="0">
            <x v="6"/>
          </reference>
        </references>
      </pivotArea>
    </chartFormat>
    <chartFormat chart="1" format="68" series="1">
      <pivotArea type="data" outline="0" fieldPosition="0">
        <references count="2">
          <reference field="4294967294" count="1" selected="0">
            <x v="7"/>
          </reference>
          <reference field="3" count="1" selected="0">
            <x v="6"/>
          </reference>
        </references>
      </pivotArea>
    </chartFormat>
    <chartFormat chart="1" format="69" series="1">
      <pivotArea type="data" outline="0" fieldPosition="0">
        <references count="2">
          <reference field="4294967294" count="1" selected="0">
            <x v="8"/>
          </reference>
          <reference field="3" count="1" selected="0">
            <x v="6"/>
          </reference>
        </references>
      </pivotArea>
    </chartFormat>
    <chartFormat chart="1" format="70" series="1">
      <pivotArea type="data" outline="0" fieldPosition="0">
        <references count="2">
          <reference field="4294967294" count="1" selected="0">
            <x v="9"/>
          </reference>
          <reference field="3" count="1" selected="0">
            <x v="6"/>
          </reference>
        </references>
      </pivotArea>
    </chartFormat>
    <chartFormat chart="1" format="71" series="1">
      <pivotArea type="data" outline="0" fieldPosition="0">
        <references count="2">
          <reference field="4294967294" count="1" selected="0">
            <x v="10"/>
          </reference>
          <reference field="3" count="1" selected="0">
            <x v="6"/>
          </reference>
        </references>
      </pivotArea>
    </chartFormat>
    <chartFormat chart="1" format="72" series="1">
      <pivotArea type="data" outline="0" fieldPosition="0">
        <references count="2">
          <reference field="4294967294" count="1" selected="0">
            <x v="11"/>
          </reference>
          <reference field="3" count="1" selected="0">
            <x v="6"/>
          </reference>
        </references>
      </pivotArea>
    </chartFormat>
    <chartFormat chart="1" format="73" series="1">
      <pivotArea type="data" outline="0" fieldPosition="0">
        <references count="2">
          <reference field="4294967294" count="1" selected="0">
            <x v="12"/>
          </reference>
          <reference field="3" count="1" selected="0">
            <x v="6"/>
          </reference>
        </references>
      </pivotArea>
    </chartFormat>
    <chartFormat chart="1" format="74" series="1">
      <pivotArea type="data" outline="0" fieldPosition="0">
        <references count="2">
          <reference field="4294967294" count="1" selected="0">
            <x v="1"/>
          </reference>
          <reference field="3" count="1" selected="0">
            <x v="7"/>
          </reference>
        </references>
      </pivotArea>
    </chartFormat>
    <chartFormat chart="1" format="75" series="1">
      <pivotArea type="data" outline="0" fieldPosition="0">
        <references count="2">
          <reference field="4294967294" count="1" selected="0">
            <x v="2"/>
          </reference>
          <reference field="3" count="1" selected="0">
            <x v="7"/>
          </reference>
        </references>
      </pivotArea>
    </chartFormat>
    <chartFormat chart="1" format="76" series="1">
      <pivotArea type="data" outline="0" fieldPosition="0">
        <references count="2">
          <reference field="4294967294" count="1" selected="0">
            <x v="3"/>
          </reference>
          <reference field="3" count="1" selected="0">
            <x v="7"/>
          </reference>
        </references>
      </pivotArea>
    </chartFormat>
    <chartFormat chart="1" format="77" series="1">
      <pivotArea type="data" outline="0" fieldPosition="0">
        <references count="2">
          <reference field="4294967294" count="1" selected="0">
            <x v="4"/>
          </reference>
          <reference field="3" count="1" selected="0">
            <x v="7"/>
          </reference>
        </references>
      </pivotArea>
    </chartFormat>
    <chartFormat chart="1" format="78" series="1">
      <pivotArea type="data" outline="0" fieldPosition="0">
        <references count="2">
          <reference field="4294967294" count="1" selected="0">
            <x v="5"/>
          </reference>
          <reference field="3" count="1" selected="0">
            <x v="7"/>
          </reference>
        </references>
      </pivotArea>
    </chartFormat>
    <chartFormat chart="1" format="79" series="1">
      <pivotArea type="data" outline="0" fieldPosition="0">
        <references count="2">
          <reference field="4294967294" count="1" selected="0">
            <x v="6"/>
          </reference>
          <reference field="3" count="1" selected="0">
            <x v="7"/>
          </reference>
        </references>
      </pivotArea>
    </chartFormat>
    <chartFormat chart="1" format="80" series="1">
      <pivotArea type="data" outline="0" fieldPosition="0">
        <references count="2">
          <reference field="4294967294" count="1" selected="0">
            <x v="7"/>
          </reference>
          <reference field="3" count="1" selected="0">
            <x v="7"/>
          </reference>
        </references>
      </pivotArea>
    </chartFormat>
    <chartFormat chart="1" format="81" series="1">
      <pivotArea type="data" outline="0" fieldPosition="0">
        <references count="2">
          <reference field="4294967294" count="1" selected="0">
            <x v="8"/>
          </reference>
          <reference field="3" count="1" selected="0">
            <x v="7"/>
          </reference>
        </references>
      </pivotArea>
    </chartFormat>
    <chartFormat chart="1" format="82" series="1">
      <pivotArea type="data" outline="0" fieldPosition="0">
        <references count="2">
          <reference field="4294967294" count="1" selected="0">
            <x v="9"/>
          </reference>
          <reference field="3" count="1" selected="0">
            <x v="7"/>
          </reference>
        </references>
      </pivotArea>
    </chartFormat>
    <chartFormat chart="1" format="83" series="1">
      <pivotArea type="data" outline="0" fieldPosition="0">
        <references count="2">
          <reference field="4294967294" count="1" selected="0">
            <x v="10"/>
          </reference>
          <reference field="3" count="1" selected="0">
            <x v="7"/>
          </reference>
        </references>
      </pivotArea>
    </chartFormat>
    <chartFormat chart="1" format="84" series="1">
      <pivotArea type="data" outline="0" fieldPosition="0">
        <references count="2">
          <reference field="4294967294" count="1" selected="0">
            <x v="11"/>
          </reference>
          <reference field="3" count="1" selected="0">
            <x v="7"/>
          </reference>
        </references>
      </pivotArea>
    </chartFormat>
    <chartFormat chart="1" format="85" series="1">
      <pivotArea type="data" outline="0" fieldPosition="0">
        <references count="2">
          <reference field="4294967294" count="1" selected="0">
            <x v="12"/>
          </reference>
          <reference field="3" count="1" selected="0">
            <x v="7"/>
          </reference>
        </references>
      </pivotArea>
    </chartFormat>
    <chartFormat chart="1" format="86" series="1">
      <pivotArea type="data" outline="0" fieldPosition="0">
        <references count="2">
          <reference field="4294967294" count="1" selected="0">
            <x v="1"/>
          </reference>
          <reference field="3" count="1" selected="0">
            <x v="8"/>
          </reference>
        </references>
      </pivotArea>
    </chartFormat>
    <chartFormat chart="1" format="87" series="1">
      <pivotArea type="data" outline="0" fieldPosition="0">
        <references count="2">
          <reference field="4294967294" count="1" selected="0">
            <x v="2"/>
          </reference>
          <reference field="3" count="1" selected="0">
            <x v="8"/>
          </reference>
        </references>
      </pivotArea>
    </chartFormat>
    <chartFormat chart="1" format="88" series="1">
      <pivotArea type="data" outline="0" fieldPosition="0">
        <references count="2">
          <reference field="4294967294" count="1" selected="0">
            <x v="3"/>
          </reference>
          <reference field="3" count="1" selected="0">
            <x v="8"/>
          </reference>
        </references>
      </pivotArea>
    </chartFormat>
    <chartFormat chart="1" format="89" series="1">
      <pivotArea type="data" outline="0" fieldPosition="0">
        <references count="2">
          <reference field="4294967294" count="1" selected="0">
            <x v="4"/>
          </reference>
          <reference field="3" count="1" selected="0">
            <x v="8"/>
          </reference>
        </references>
      </pivotArea>
    </chartFormat>
    <chartFormat chart="1" format="90" series="1">
      <pivotArea type="data" outline="0" fieldPosition="0">
        <references count="2">
          <reference field="4294967294" count="1" selected="0">
            <x v="5"/>
          </reference>
          <reference field="3" count="1" selected="0">
            <x v="8"/>
          </reference>
        </references>
      </pivotArea>
    </chartFormat>
    <chartFormat chart="1" format="91" series="1">
      <pivotArea type="data" outline="0" fieldPosition="0">
        <references count="2">
          <reference field="4294967294" count="1" selected="0">
            <x v="6"/>
          </reference>
          <reference field="3" count="1" selected="0">
            <x v="8"/>
          </reference>
        </references>
      </pivotArea>
    </chartFormat>
    <chartFormat chart="1" format="92" series="1">
      <pivotArea type="data" outline="0" fieldPosition="0">
        <references count="2">
          <reference field="4294967294" count="1" selected="0">
            <x v="7"/>
          </reference>
          <reference field="3" count="1" selected="0">
            <x v="8"/>
          </reference>
        </references>
      </pivotArea>
    </chartFormat>
    <chartFormat chart="1" format="93" series="1">
      <pivotArea type="data" outline="0" fieldPosition="0">
        <references count="2">
          <reference field="4294967294" count="1" selected="0">
            <x v="8"/>
          </reference>
          <reference field="3" count="1" selected="0">
            <x v="8"/>
          </reference>
        </references>
      </pivotArea>
    </chartFormat>
    <chartFormat chart="1" format="94" series="1">
      <pivotArea type="data" outline="0" fieldPosition="0">
        <references count="2">
          <reference field="4294967294" count="1" selected="0">
            <x v="9"/>
          </reference>
          <reference field="3" count="1" selected="0">
            <x v="8"/>
          </reference>
        </references>
      </pivotArea>
    </chartFormat>
    <chartFormat chart="1" format="95" series="1">
      <pivotArea type="data" outline="0" fieldPosition="0">
        <references count="2">
          <reference field="4294967294" count="1" selected="0">
            <x v="10"/>
          </reference>
          <reference field="3" count="1" selected="0">
            <x v="8"/>
          </reference>
        </references>
      </pivotArea>
    </chartFormat>
    <chartFormat chart="1" format="96" series="1">
      <pivotArea type="data" outline="0" fieldPosition="0">
        <references count="2">
          <reference field="4294967294" count="1" selected="0">
            <x v="11"/>
          </reference>
          <reference field="3" count="1" selected="0">
            <x v="8"/>
          </reference>
        </references>
      </pivotArea>
    </chartFormat>
    <chartFormat chart="1" format="97" series="1">
      <pivotArea type="data" outline="0" fieldPosition="0">
        <references count="2">
          <reference field="4294967294" count="1" selected="0">
            <x v="12"/>
          </reference>
          <reference field="3" count="1" selected="0">
            <x v="8"/>
          </reference>
        </references>
      </pivotArea>
    </chartFormat>
    <chartFormat chart="1" format="98" series="1">
      <pivotArea type="data" outline="0" fieldPosition="0">
        <references count="2">
          <reference field="4294967294" count="1" selected="0">
            <x v="1"/>
          </reference>
          <reference field="3" count="1" selected="0">
            <x v="9"/>
          </reference>
        </references>
      </pivotArea>
    </chartFormat>
    <chartFormat chart="1" format="99" series="1">
      <pivotArea type="data" outline="0" fieldPosition="0">
        <references count="2">
          <reference field="4294967294" count="1" selected="0">
            <x v="2"/>
          </reference>
          <reference field="3" count="1" selected="0">
            <x v="9"/>
          </reference>
        </references>
      </pivotArea>
    </chartFormat>
    <chartFormat chart="1" format="100" series="1">
      <pivotArea type="data" outline="0" fieldPosition="0">
        <references count="2">
          <reference field="4294967294" count="1" selected="0">
            <x v="3"/>
          </reference>
          <reference field="3" count="1" selected="0">
            <x v="9"/>
          </reference>
        </references>
      </pivotArea>
    </chartFormat>
    <chartFormat chart="1" format="101" series="1">
      <pivotArea type="data" outline="0" fieldPosition="0">
        <references count="2">
          <reference field="4294967294" count="1" selected="0">
            <x v="4"/>
          </reference>
          <reference field="3" count="1" selected="0">
            <x v="9"/>
          </reference>
        </references>
      </pivotArea>
    </chartFormat>
    <chartFormat chart="1" format="102" series="1">
      <pivotArea type="data" outline="0" fieldPosition="0">
        <references count="2">
          <reference field="4294967294" count="1" selected="0">
            <x v="5"/>
          </reference>
          <reference field="3" count="1" selected="0">
            <x v="9"/>
          </reference>
        </references>
      </pivotArea>
    </chartFormat>
    <chartFormat chart="1" format="103" series="1">
      <pivotArea type="data" outline="0" fieldPosition="0">
        <references count="2">
          <reference field="4294967294" count="1" selected="0">
            <x v="6"/>
          </reference>
          <reference field="3" count="1" selected="0">
            <x v="9"/>
          </reference>
        </references>
      </pivotArea>
    </chartFormat>
    <chartFormat chart="1" format="104" series="1">
      <pivotArea type="data" outline="0" fieldPosition="0">
        <references count="2">
          <reference field="4294967294" count="1" selected="0">
            <x v="7"/>
          </reference>
          <reference field="3" count="1" selected="0">
            <x v="9"/>
          </reference>
        </references>
      </pivotArea>
    </chartFormat>
    <chartFormat chart="1" format="105" series="1">
      <pivotArea type="data" outline="0" fieldPosition="0">
        <references count="2">
          <reference field="4294967294" count="1" selected="0">
            <x v="8"/>
          </reference>
          <reference field="3" count="1" selected="0">
            <x v="9"/>
          </reference>
        </references>
      </pivotArea>
    </chartFormat>
    <chartFormat chart="1" format="106" series="1">
      <pivotArea type="data" outline="0" fieldPosition="0">
        <references count="2">
          <reference field="4294967294" count="1" selected="0">
            <x v="9"/>
          </reference>
          <reference field="3" count="1" selected="0">
            <x v="9"/>
          </reference>
        </references>
      </pivotArea>
    </chartFormat>
    <chartFormat chart="1" format="107" series="1">
      <pivotArea type="data" outline="0" fieldPosition="0">
        <references count="2">
          <reference field="4294967294" count="1" selected="0">
            <x v="10"/>
          </reference>
          <reference field="3" count="1" selected="0">
            <x v="9"/>
          </reference>
        </references>
      </pivotArea>
    </chartFormat>
    <chartFormat chart="1" format="108" series="1">
      <pivotArea type="data" outline="0" fieldPosition="0">
        <references count="2">
          <reference field="4294967294" count="1" selected="0">
            <x v="11"/>
          </reference>
          <reference field="3" count="1" selected="0">
            <x v="9"/>
          </reference>
        </references>
      </pivotArea>
    </chartFormat>
    <chartFormat chart="1" format="109" series="1">
      <pivotArea type="data" outline="0" fieldPosition="0">
        <references count="2">
          <reference field="4294967294" count="1" selected="0">
            <x v="12"/>
          </reference>
          <reference field="3" count="1" selected="0">
            <x v="9"/>
          </reference>
        </references>
      </pivotArea>
    </chartFormat>
    <chartFormat chart="1" format="110" series="1">
      <pivotArea type="data" outline="0" fieldPosition="0">
        <references count="2">
          <reference field="4294967294" count="1" selected="0">
            <x v="1"/>
          </reference>
          <reference field="3" count="1" selected="0">
            <x v="16"/>
          </reference>
        </references>
      </pivotArea>
    </chartFormat>
    <chartFormat chart="1" format="111" series="1">
      <pivotArea type="data" outline="0" fieldPosition="0">
        <references count="2">
          <reference field="4294967294" count="1" selected="0">
            <x v="2"/>
          </reference>
          <reference field="3" count="1" selected="0">
            <x v="16"/>
          </reference>
        </references>
      </pivotArea>
    </chartFormat>
    <chartFormat chart="1" format="112" series="1">
      <pivotArea type="data" outline="0" fieldPosition="0">
        <references count="2">
          <reference field="4294967294" count="1" selected="0">
            <x v="3"/>
          </reference>
          <reference field="3" count="1" selected="0">
            <x v="16"/>
          </reference>
        </references>
      </pivotArea>
    </chartFormat>
    <chartFormat chart="1" format="113" series="1">
      <pivotArea type="data" outline="0" fieldPosition="0">
        <references count="2">
          <reference field="4294967294" count="1" selected="0">
            <x v="4"/>
          </reference>
          <reference field="3" count="1" selected="0">
            <x v="16"/>
          </reference>
        </references>
      </pivotArea>
    </chartFormat>
    <chartFormat chart="1" format="114" series="1">
      <pivotArea type="data" outline="0" fieldPosition="0">
        <references count="2">
          <reference field="4294967294" count="1" selected="0">
            <x v="5"/>
          </reference>
          <reference field="3" count="1" selected="0">
            <x v="16"/>
          </reference>
        </references>
      </pivotArea>
    </chartFormat>
    <chartFormat chart="1" format="115" series="1">
      <pivotArea type="data" outline="0" fieldPosition="0">
        <references count="2">
          <reference field="4294967294" count="1" selected="0">
            <x v="6"/>
          </reference>
          <reference field="3" count="1" selected="0">
            <x v="16"/>
          </reference>
        </references>
      </pivotArea>
    </chartFormat>
    <chartFormat chart="1" format="116" series="1">
      <pivotArea type="data" outline="0" fieldPosition="0">
        <references count="2">
          <reference field="4294967294" count="1" selected="0">
            <x v="7"/>
          </reference>
          <reference field="3" count="1" selected="0">
            <x v="16"/>
          </reference>
        </references>
      </pivotArea>
    </chartFormat>
    <chartFormat chart="1" format="117" series="1">
      <pivotArea type="data" outline="0" fieldPosition="0">
        <references count="2">
          <reference field="4294967294" count="1" selected="0">
            <x v="8"/>
          </reference>
          <reference field="3" count="1" selected="0">
            <x v="16"/>
          </reference>
        </references>
      </pivotArea>
    </chartFormat>
    <chartFormat chart="1" format="118" series="1">
      <pivotArea type="data" outline="0" fieldPosition="0">
        <references count="2">
          <reference field="4294967294" count="1" selected="0">
            <x v="9"/>
          </reference>
          <reference field="3" count="1" selected="0">
            <x v="16"/>
          </reference>
        </references>
      </pivotArea>
    </chartFormat>
    <chartFormat chart="1" format="119" series="1">
      <pivotArea type="data" outline="0" fieldPosition="0">
        <references count="2">
          <reference field="4294967294" count="1" selected="0">
            <x v="10"/>
          </reference>
          <reference field="3" count="1" selected="0">
            <x v="16"/>
          </reference>
        </references>
      </pivotArea>
    </chartFormat>
    <chartFormat chart="1" format="120" series="1">
      <pivotArea type="data" outline="0" fieldPosition="0">
        <references count="2">
          <reference field="4294967294" count="1" selected="0">
            <x v="11"/>
          </reference>
          <reference field="3" count="1" selected="0">
            <x v="16"/>
          </reference>
        </references>
      </pivotArea>
    </chartFormat>
    <chartFormat chart="1" format="121" series="1">
      <pivotArea type="data" outline="0" fieldPosition="0">
        <references count="2">
          <reference field="4294967294" count="1" selected="0">
            <x v="12"/>
          </reference>
          <reference field="3" count="1" selected="0">
            <x v="16"/>
          </reference>
        </references>
      </pivotArea>
    </chartFormat>
    <chartFormat chart="9" format="14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872AF3-353A-4B20-A775-42DC9BC4CF05}" name="Pivot_Defence" cacheId="3" dataOnRows="1" applyNumberFormats="0" applyBorderFormats="0" applyFontFormats="0" applyPatternFormats="0" applyAlignmentFormats="0" applyWidthHeightFormats="1" dataCaption="Year" updatedVersion="7" minRefreshableVersion="3" useAutoFormatting="1" itemPrintTitles="1" createdVersion="7" indent="0" outline="1" outlineData="1" multipleFieldFilters="0" chartFormat="18">
  <location ref="A1:G15" firstHeaderRow="1" firstDataRow="2" firstDataCol="1"/>
  <pivotFields count="17">
    <pivotField showAll="0"/>
    <pivotField showAll="0"/>
    <pivotField showAll="0">
      <items count="25">
        <item x="13"/>
        <item h="1" x="21"/>
        <item h="1" x="12"/>
        <item h="1" x="11"/>
        <item h="1" x="23"/>
        <item h="1" x="18"/>
        <item h="1" x="7"/>
        <item h="1" x="8"/>
        <item h="1" x="9"/>
        <item h="1" x="10"/>
        <item h="1" x="19"/>
        <item h="1" x="14"/>
        <item h="1" x="16"/>
        <item h="1" x="15"/>
        <item h="1" x="22"/>
        <item h="1" x="17"/>
        <item h="1" x="20"/>
        <item h="1" x="1"/>
        <item h="1" x="6"/>
        <item h="1" x="2"/>
        <item h="1" x="3"/>
        <item h="1" x="4"/>
        <item h="1" x="5"/>
        <item h="1" x="0"/>
        <item t="default"/>
      </items>
    </pivotField>
    <pivotField axis="axisCol" showAll="0">
      <items count="75">
        <item h="1" x="48"/>
        <item h="1" x="50"/>
        <item h="1" x="51"/>
        <item h="1" x="49"/>
        <item h="1" x="35"/>
        <item h="1" x="57"/>
        <item h="1" x="66"/>
        <item n="Defence Services" x="59"/>
        <item h="1" x="62"/>
        <item h="1" x="69"/>
        <item h="1" x="65"/>
        <item h="1" x="63"/>
        <item h="1" x="67"/>
        <item h="1" x="68"/>
        <item h="1" x="64"/>
        <item h="1" x="61"/>
        <item h="1" x="58"/>
        <item h="1" x="60"/>
        <item h="1" x="5"/>
        <item h="1" x="9"/>
        <item h="1" x="14"/>
        <item n="Air Force" x="42"/>
        <item n="Army" x="40"/>
        <item n="Navy" x="41"/>
        <item n="R&amp;D" x="43"/>
        <item h="1" x="39"/>
        <item h="1" x="21"/>
        <item h="1" x="52"/>
        <item h="1" x="18"/>
        <item h="1" x="30"/>
        <item h="1" x="28"/>
        <item h="1" x="2"/>
        <item h="1" x="4"/>
        <item h="1" x="7"/>
        <item h="1" x="6"/>
        <item h="1" x="10"/>
        <item h="1" x="33"/>
        <item h="1" x="34"/>
        <item h="1" x="20"/>
        <item h="1" x="19"/>
        <item h="1" x="46"/>
        <item h="1" x="70"/>
        <item h="1" x="73"/>
        <item h="1" x="47"/>
        <item h="1" x="55"/>
        <item h="1" x="25"/>
        <item h="1" x="23"/>
        <item h="1" x="27"/>
        <item h="1" x="26"/>
        <item h="1" x="24"/>
        <item h="1" x="31"/>
        <item h="1" x="22"/>
        <item h="1" x="37"/>
        <item h="1" x="38"/>
        <item h="1" x="36"/>
        <item h="1" x="54"/>
        <item h="1" x="12"/>
        <item h="1" x="16"/>
        <item h="1" x="3"/>
        <item h="1" x="32"/>
        <item h="1" x="1"/>
        <item h="1" x="13"/>
        <item h="1" x="8"/>
        <item h="1" x="11"/>
        <item h="1" x="44"/>
        <item h="1" x="56"/>
        <item h="1" x="72"/>
        <item h="1" x="17"/>
        <item h="1" x="45"/>
        <item h="1" x="71"/>
        <item h="1" x="53"/>
        <item h="1" x="29"/>
        <item h="1" x="0"/>
        <item h="1" x="15"/>
        <item t="default"/>
      </items>
    </pivotField>
    <pivotField dataField="1" numFmtId="166" showAll="0">
      <items count="72">
        <item x="4"/>
        <item x="59"/>
        <item x="15"/>
        <item x="21"/>
        <item x="65"/>
        <item x="60"/>
        <item x="57"/>
        <item x="25"/>
        <item x="9"/>
        <item x="28"/>
        <item x="40"/>
        <item x="8"/>
        <item x="63"/>
        <item x="29"/>
        <item x="51"/>
        <item x="23"/>
        <item x="70"/>
        <item x="38"/>
        <item x="64"/>
        <item x="67"/>
        <item x="66"/>
        <item x="39"/>
        <item x="50"/>
        <item x="49"/>
        <item x="62"/>
        <item x="20"/>
        <item x="52"/>
        <item x="69"/>
        <item x="24"/>
        <item x="33"/>
        <item x="17"/>
        <item x="61"/>
        <item x="32"/>
        <item x="35"/>
        <item x="58"/>
        <item x="56"/>
        <item x="34"/>
        <item x="37"/>
        <item x="55"/>
        <item x="18"/>
        <item x="19"/>
        <item x="36"/>
        <item x="16"/>
        <item x="48"/>
        <item x="47"/>
        <item x="13"/>
        <item x="54"/>
        <item x="12"/>
        <item x="11"/>
        <item x="22"/>
        <item x="7"/>
        <item x="3"/>
        <item x="31"/>
        <item x="6"/>
        <item x="30"/>
        <item x="14"/>
        <item x="10"/>
        <item x="44"/>
        <item x="46"/>
        <item x="5"/>
        <item x="27"/>
        <item x="1"/>
        <item x="2"/>
        <item x="0"/>
        <item x="26"/>
        <item x="45"/>
        <item x="68"/>
        <item x="53"/>
        <item x="43"/>
        <item x="42"/>
        <item x="41"/>
        <item t="default"/>
      </items>
    </pivotField>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s>
  <rowFields count="1">
    <field x="-2"/>
  </rowFields>
  <rowItems count="13">
    <i>
      <x/>
    </i>
    <i i="1">
      <x v="1"/>
    </i>
    <i i="2">
      <x v="2"/>
    </i>
    <i i="3">
      <x v="3"/>
    </i>
    <i i="4">
      <x v="4"/>
    </i>
    <i i="5">
      <x v="5"/>
    </i>
    <i i="6">
      <x v="6"/>
    </i>
    <i i="7">
      <x v="7"/>
    </i>
    <i i="8">
      <x v="8"/>
    </i>
    <i i="9">
      <x v="9"/>
    </i>
    <i i="10">
      <x v="10"/>
    </i>
    <i i="11">
      <x v="11"/>
    </i>
    <i i="12">
      <x v="12"/>
    </i>
  </rowItems>
  <colFields count="1">
    <field x="3"/>
  </colFields>
  <colItems count="6">
    <i>
      <x v="7"/>
    </i>
    <i>
      <x v="21"/>
    </i>
    <i>
      <x v="22"/>
    </i>
    <i>
      <x v="23"/>
    </i>
    <i>
      <x v="24"/>
    </i>
    <i t="grand">
      <x/>
    </i>
  </colItems>
  <dataFields count="13">
    <dataField name="(2013-14)" fld="4" baseField="0" baseItem="0"/>
    <dataField name="(2014-15)" fld="5" baseField="0" baseItem="0"/>
    <dataField name="(2015-16)" fld="6" baseField="0" baseItem="0"/>
    <dataField name="(2016-17)" fld="7" baseField="0" baseItem="0"/>
    <dataField name="(2017-18)" fld="8" baseField="0" baseItem="0"/>
    <dataField name="(2018-19)" fld="9" baseField="0" baseItem="0"/>
    <dataField name="(2019-20)" fld="10" baseField="0" baseItem="0"/>
    <dataField name="(2020-21)" fld="11" baseField="0" baseItem="0"/>
    <dataField name="(2021-22)" fld="12" baseField="0" baseItem="0"/>
    <dataField name="(2022-23)" fld="13" baseField="0" baseItem="0"/>
    <dataField name="(2023-24)" fld="14" baseField="0" baseItem="0"/>
    <dataField name="(RE 2024-25)" fld="15" baseField="0" baseItem="0"/>
    <dataField name="(BE 2025-26)" fld="16" baseField="0" baseItem="0"/>
  </dataFields>
  <chartFormats count="2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series="1">
      <pivotArea type="data" outline="0" fieldPosition="0">
        <references count="1">
          <reference field="4294967294" count="1" selected="0">
            <x v="11"/>
          </reference>
        </references>
      </pivotArea>
    </chartFormat>
    <chartFormat chart="0" format="12" series="1">
      <pivotArea type="data" outline="0" fieldPosition="0">
        <references count="1">
          <reference field="4294967294" count="1" selected="0">
            <x v="12"/>
          </reference>
        </references>
      </pivotArea>
    </chartFormat>
    <chartFormat chart="0" format="13" series="1">
      <pivotArea type="data" outline="0" fieldPosition="0">
        <references count="2">
          <reference field="4294967294" count="1" selected="0">
            <x v="0"/>
          </reference>
          <reference field="3" count="1" selected="0">
            <x v="22"/>
          </reference>
        </references>
      </pivotArea>
    </chartFormat>
    <chartFormat chart="0" format="14" series="1">
      <pivotArea type="data" outline="0" fieldPosition="0">
        <references count="2">
          <reference field="4294967294" count="1" selected="0">
            <x v="0"/>
          </reference>
          <reference field="3" count="1" selected="0">
            <x v="21"/>
          </reference>
        </references>
      </pivotArea>
    </chartFormat>
    <chartFormat chart="0" format="15" series="1">
      <pivotArea type="data" outline="0" fieldPosition="0">
        <references count="2">
          <reference field="4294967294" count="1" selected="0">
            <x v="0"/>
          </reference>
          <reference field="3" count="1" selected="0">
            <x v="23"/>
          </reference>
        </references>
      </pivotArea>
    </chartFormat>
    <chartFormat chart="0" format="16" series="1">
      <pivotArea type="data" outline="0" fieldPosition="0">
        <references count="2">
          <reference field="4294967294" count="1" selected="0">
            <x v="0"/>
          </reference>
          <reference field="3" count="1" selected="0">
            <x v="24"/>
          </reference>
        </references>
      </pivotArea>
    </chartFormat>
    <chartFormat chart="0" format="17" series="1">
      <pivotArea type="data" outline="0" fieldPosition="0">
        <references count="2">
          <reference field="4294967294" count="1" selected="0">
            <x v="0"/>
          </reference>
          <reference field="3" count="1" selected="0">
            <x v="7"/>
          </reference>
        </references>
      </pivotArea>
    </chartFormat>
    <chartFormat chart="14" format="23" series="1">
      <pivotArea type="data" outline="0" fieldPosition="0">
        <references count="2">
          <reference field="4294967294" count="1" selected="0">
            <x v="0"/>
          </reference>
          <reference field="3" count="1" selected="0">
            <x v="7"/>
          </reference>
        </references>
      </pivotArea>
    </chartFormat>
    <chartFormat chart="14" format="24" series="1">
      <pivotArea type="data" outline="0" fieldPosition="0">
        <references count="2">
          <reference field="4294967294" count="1" selected="0">
            <x v="0"/>
          </reference>
          <reference field="3" count="1" selected="0">
            <x v="21"/>
          </reference>
        </references>
      </pivotArea>
    </chartFormat>
    <chartFormat chart="14" format="25" series="1">
      <pivotArea type="data" outline="0" fieldPosition="0">
        <references count="2">
          <reference field="4294967294" count="1" selected="0">
            <x v="0"/>
          </reference>
          <reference field="3" count="1" selected="0">
            <x v="22"/>
          </reference>
        </references>
      </pivotArea>
    </chartFormat>
    <chartFormat chart="14" format="26" series="1">
      <pivotArea type="data" outline="0" fieldPosition="0">
        <references count="2">
          <reference field="4294967294" count="1" selected="0">
            <x v="0"/>
          </reference>
          <reference field="3" count="1" selected="0">
            <x v="23"/>
          </reference>
        </references>
      </pivotArea>
    </chartFormat>
    <chartFormat chart="14" format="27" series="1">
      <pivotArea type="data" outline="0" fieldPosition="0">
        <references count="2">
          <reference field="4294967294" count="1" selected="0">
            <x v="0"/>
          </reference>
          <reference field="3" count="1" selected="0">
            <x v="24"/>
          </reference>
        </references>
      </pivotArea>
    </chartFormat>
    <chartFormat chart="14" format="28" series="1">
      <pivotArea type="data" outline="0" fieldPosition="0">
        <references count="1">
          <reference field="4294967294" count="1" selected="0">
            <x v="0"/>
          </reference>
        </references>
      </pivotArea>
    </chartFormat>
    <chartFormat chart="17" format="18" series="1">
      <pivotArea type="data" outline="0" fieldPosition="0">
        <references count="2">
          <reference field="4294967294" count="1" selected="0">
            <x v="0"/>
          </reference>
          <reference field="3" count="1" selected="0">
            <x v="7"/>
          </reference>
        </references>
      </pivotArea>
    </chartFormat>
    <chartFormat chart="17" format="19" series="1">
      <pivotArea type="data" outline="0" fieldPosition="0">
        <references count="2">
          <reference field="4294967294" count="1" selected="0">
            <x v="0"/>
          </reference>
          <reference field="3" count="1" selected="0">
            <x v="21"/>
          </reference>
        </references>
      </pivotArea>
    </chartFormat>
    <chartFormat chart="17" format="20" series="1">
      <pivotArea type="data" outline="0" fieldPosition="0">
        <references count="2">
          <reference field="4294967294" count="1" selected="0">
            <x v="0"/>
          </reference>
          <reference field="3" count="1" selected="0">
            <x v="22"/>
          </reference>
        </references>
      </pivotArea>
    </chartFormat>
    <chartFormat chart="17" format="21" series="1">
      <pivotArea type="data" outline="0" fieldPosition="0">
        <references count="2">
          <reference field="4294967294" count="1" selected="0">
            <x v="0"/>
          </reference>
          <reference field="3" count="1" selected="0">
            <x v="23"/>
          </reference>
        </references>
      </pivotArea>
    </chartFormat>
    <chartFormat chart="17" format="22" series="1">
      <pivotArea type="data" outline="0" fieldPosition="0">
        <references count="2">
          <reference field="4294967294" count="1" selected="0">
            <x v="0"/>
          </reference>
          <reference field="3"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3BD20B-7626-479B-B138-C58C577BA9C1}"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I11" firstHeaderRow="1" firstDataRow="1" firstDataCol="1"/>
  <pivotFields count="17">
    <pivotField showAll="0"/>
    <pivotField showAll="0"/>
    <pivotField axis="axisRow" showAll="0">
      <items count="25">
        <item h="1" x="13"/>
        <item x="21"/>
        <item h="1" x="12"/>
        <item h="1" x="11"/>
        <item h="1" x="23"/>
        <item h="1" x="18"/>
        <item h="1" x="7"/>
        <item h="1" x="8"/>
        <item h="1" x="9"/>
        <item h="1" x="10"/>
        <item h="1" x="19"/>
        <item h="1" x="14"/>
        <item h="1" x="16"/>
        <item h="1" x="15"/>
        <item h="1" x="22"/>
        <item h="1" x="17"/>
        <item h="1" x="20"/>
        <item h="1" x="1"/>
        <item h="1" x="6"/>
        <item h="1" x="2"/>
        <item h="1" x="3"/>
        <item h="1" x="4"/>
        <item h="1" x="5"/>
        <item h="1" x="0"/>
        <item t="default"/>
      </items>
    </pivotField>
    <pivotField axis="axisRow" multipleItemSelectionAllowed="1" showAll="0">
      <items count="75">
        <item h="1" x="48"/>
        <item h="1" x="50"/>
        <item h="1" x="51"/>
        <item h="1" x="49"/>
        <item h="1" x="35"/>
        <item h="1" x="57"/>
        <item x="66"/>
        <item x="59"/>
        <item x="62"/>
        <item h="1" x="69"/>
        <item x="65"/>
        <item x="63"/>
        <item x="67"/>
        <item x="68"/>
        <item h="1" x="64"/>
        <item h="1" x="61"/>
        <item h="1" x="58"/>
        <item h="1" x="60"/>
        <item h="1" x="5"/>
        <item h="1" x="9"/>
        <item h="1" x="14"/>
        <item h="1" x="42"/>
        <item h="1" x="40"/>
        <item h="1" x="41"/>
        <item h="1" x="43"/>
        <item h="1" x="39"/>
        <item h="1" x="21"/>
        <item h="1" x="52"/>
        <item h="1" x="18"/>
        <item h="1" x="30"/>
        <item h="1" x="28"/>
        <item h="1" x="2"/>
        <item h="1" x="4"/>
        <item h="1" x="7"/>
        <item h="1" x="6"/>
        <item h="1" x="10"/>
        <item h="1" x="33"/>
        <item h="1" x="34"/>
        <item h="1" x="20"/>
        <item h="1" x="19"/>
        <item h="1" x="46"/>
        <item h="1" x="70"/>
        <item h="1" x="73"/>
        <item h="1" x="47"/>
        <item h="1" x="55"/>
        <item h="1" x="25"/>
        <item h="1" x="23"/>
        <item h="1" x="27"/>
        <item h="1" x="26"/>
        <item h="1" x="24"/>
        <item h="1" x="31"/>
        <item h="1" x="22"/>
        <item h="1" x="37"/>
        <item h="1" x="38"/>
        <item h="1" x="36"/>
        <item h="1" x="54"/>
        <item h="1" x="12"/>
        <item h="1" x="16"/>
        <item h="1" x="3"/>
        <item h="1" x="32"/>
        <item h="1" x="1"/>
        <item h="1" x="13"/>
        <item h="1" x="8"/>
        <item h="1" x="11"/>
        <item h="1" x="44"/>
        <item h="1" x="56"/>
        <item h="1" x="72"/>
        <item h="1" x="17"/>
        <item h="1" x="45"/>
        <item h="1" x="71"/>
        <item h="1" x="53"/>
        <item h="1" x="29"/>
        <item h="1" x="0"/>
        <item h="1" x="15"/>
        <item t="default"/>
      </items>
    </pivotField>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dataField="1" numFmtId="166" showAll="0"/>
    <pivotField numFmtId="166" showAll="0"/>
    <pivotField numFmtId="166" showAll="0"/>
  </pivotFields>
  <rowFields count="2">
    <field x="2"/>
    <field x="3"/>
  </rowFields>
  <rowItems count="8">
    <i>
      <x v="1"/>
    </i>
    <i r="1">
      <x v="6"/>
    </i>
    <i r="1">
      <x v="8"/>
    </i>
    <i r="1">
      <x v="10"/>
    </i>
    <i r="1">
      <x v="11"/>
    </i>
    <i r="1">
      <x v="12"/>
    </i>
    <i r="1">
      <x v="13"/>
    </i>
    <i t="grand">
      <x/>
    </i>
  </rowItems>
  <colItems count="1">
    <i/>
  </colItems>
  <dataFields count="1">
    <dataField name="(2023-24)"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6416DC-524F-4982-BD02-20E842AC51F6}" name="Pivot_CapEx" cacheId="3" dataOnRows="1" applyNumberFormats="0" applyBorderFormats="0" applyFontFormats="0" applyPatternFormats="0" applyAlignmentFormats="0" applyWidthHeightFormats="1" dataCaption="Year" updatedVersion="7" minRefreshableVersion="3" useAutoFormatting="1" itemPrintTitles="1" createdVersion="7" indent="0" outline="1" outlineData="1" multipleFieldFilters="0" chartFormat="19">
  <location ref="A3:F18" firstHeaderRow="1" firstDataRow="3" firstDataCol="1"/>
  <pivotFields count="17">
    <pivotField axis="axisCol" showAll="0">
      <items count="5">
        <item x="3"/>
        <item h="1" x="2"/>
        <item h="1" x="1"/>
        <item h="1" x="0"/>
        <item t="default"/>
      </items>
    </pivotField>
    <pivotField showAll="0"/>
    <pivotField axis="axisCol" multipleItemSelectionAllowed="1" showAll="0">
      <items count="25">
        <item h="1" x="13"/>
        <item x="21"/>
        <item x="12"/>
        <item h="1" x="11"/>
        <item h="1" x="23"/>
        <item h="1" x="18"/>
        <item h="1" x="7"/>
        <item h="1" x="8"/>
        <item h="1" x="9"/>
        <item h="1" x="10"/>
        <item h="1" x="19"/>
        <item h="1" x="14"/>
        <item h="1" x="16"/>
        <item h="1" x="15"/>
        <item h="1" x="22"/>
        <item h="1" x="17"/>
        <item x="20"/>
        <item h="1" x="1"/>
        <item h="1" x="6"/>
        <item h="1" x="2"/>
        <item h="1" x="3"/>
        <item h="1" x="4"/>
        <item h="1" x="5"/>
        <item h="1" x="0"/>
        <item t="default"/>
      </items>
    </pivotField>
    <pivotField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s>
  <rowFields count="1">
    <field x="-2"/>
  </rowFields>
  <rowItems count="13">
    <i>
      <x/>
    </i>
    <i i="1">
      <x v="1"/>
    </i>
    <i i="2">
      <x v="2"/>
    </i>
    <i i="3">
      <x v="3"/>
    </i>
    <i i="4">
      <x v="4"/>
    </i>
    <i i="5">
      <x v="5"/>
    </i>
    <i i="6">
      <x v="6"/>
    </i>
    <i i="7">
      <x v="7"/>
    </i>
    <i i="8">
      <x v="8"/>
    </i>
    <i i="9">
      <x v="9"/>
    </i>
    <i i="10">
      <x v="10"/>
    </i>
    <i i="11">
      <x v="11"/>
    </i>
    <i i="12">
      <x v="12"/>
    </i>
  </rowItems>
  <colFields count="2">
    <field x="0"/>
    <field x="2"/>
  </colFields>
  <colItems count="5">
    <i>
      <x/>
      <x v="1"/>
    </i>
    <i r="1">
      <x v="2"/>
    </i>
    <i r="1">
      <x v="16"/>
    </i>
    <i t="default">
      <x/>
    </i>
    <i t="grand">
      <x/>
    </i>
  </colItems>
  <dataFields count="13">
    <dataField name="(2013-14)" fld="4" baseField="0" baseItem="0"/>
    <dataField name="(2014-15)" fld="5" baseField="0" baseItem="0"/>
    <dataField name="(2015-16)" fld="6" baseField="0" baseItem="0"/>
    <dataField name="(2016-17)" fld="7" baseField="0" baseItem="0"/>
    <dataField name="(2017-18)" fld="8" baseField="0" baseItem="0"/>
    <dataField name="(2018-19)" fld="9" baseField="0" baseItem="0"/>
    <dataField name="(2019-20)" fld="10" baseField="0" baseItem="0"/>
    <dataField name="(2020-21)" fld="11" baseField="0" baseItem="0"/>
    <dataField name="(2021-22)" fld="12" baseField="0" baseItem="0"/>
    <dataField name="(2022-23)" fld="13" baseField="0" baseItem="0"/>
    <dataField name="(2023-24)" fld="14" baseField="0" baseItem="0"/>
    <dataField name="(RE 2024-25)" fld="15" baseField="0" baseItem="0"/>
    <dataField name="(BE 2025-26)" fld="16" baseField="0" baseItem="0"/>
  </dataFields>
  <chartFormats count="2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series="1">
      <pivotArea type="data" outline="0" fieldPosition="0">
        <references count="1">
          <reference field="4294967294" count="1" selected="0">
            <x v="11"/>
          </reference>
        </references>
      </pivotArea>
    </chartFormat>
    <chartFormat chart="0" format="12" series="1">
      <pivotArea type="data" outline="0" fieldPosition="0">
        <references count="1">
          <reference field="4294967294" count="1" selected="0">
            <x v="12"/>
          </reference>
        </references>
      </pivotArea>
    </chartFormat>
    <chartFormat chart="0" format="13" series="1">
      <pivotArea type="data" outline="0" fieldPosition="0">
        <references count="3">
          <reference field="4294967294" count="1" selected="0">
            <x v="0"/>
          </reference>
          <reference field="0" count="1" selected="0">
            <x v="0"/>
          </reference>
          <reference field="2" count="1" selected="0">
            <x v="16"/>
          </reference>
        </references>
      </pivotArea>
    </chartFormat>
    <chartFormat chart="0" format="14" series="1">
      <pivotArea type="data" outline="0" fieldPosition="0">
        <references count="3">
          <reference field="4294967294" count="1" selected="0">
            <x v="0"/>
          </reference>
          <reference field="0" count="1" selected="0">
            <x v="0"/>
          </reference>
          <reference field="2" count="1" selected="0">
            <x v="2"/>
          </reference>
        </references>
      </pivotArea>
    </chartFormat>
    <chartFormat chart="0" format="15" series="1">
      <pivotArea type="data" outline="0" fieldPosition="0">
        <references count="3">
          <reference field="4294967294" count="1" selected="0">
            <x v="0"/>
          </reference>
          <reference field="0" count="1" selected="0">
            <x v="0"/>
          </reference>
          <reference field="2" count="1" selected="0">
            <x v="1"/>
          </reference>
        </references>
      </pivotArea>
    </chartFormat>
    <chartFormat chart="16" format="19" series="1">
      <pivotArea type="data" outline="0" fieldPosition="0">
        <references count="3">
          <reference field="4294967294" count="1" selected="0">
            <x v="0"/>
          </reference>
          <reference field="0" count="1" selected="0">
            <x v="0"/>
          </reference>
          <reference field="2" count="1" selected="0">
            <x v="1"/>
          </reference>
        </references>
      </pivotArea>
    </chartFormat>
    <chartFormat chart="16" format="20" series="1">
      <pivotArea type="data" outline="0" fieldPosition="0">
        <references count="3">
          <reference field="4294967294" count="1" selected="0">
            <x v="0"/>
          </reference>
          <reference field="0" count="1" selected="0">
            <x v="0"/>
          </reference>
          <reference field="2" count="1" selected="0">
            <x v="2"/>
          </reference>
        </references>
      </pivotArea>
    </chartFormat>
    <chartFormat chart="16" format="21" series="1">
      <pivotArea type="data" outline="0" fieldPosition="0">
        <references count="3">
          <reference field="4294967294" count="1" selected="0">
            <x v="0"/>
          </reference>
          <reference field="0" count="1" selected="0">
            <x v="0"/>
          </reference>
          <reference field="2" count="1" selected="0">
            <x v="16"/>
          </reference>
        </references>
      </pivotArea>
    </chartFormat>
    <chartFormat chart="16" format="22" series="1">
      <pivotArea type="data" outline="0" fieldPosition="0">
        <references count="3">
          <reference field="4294967294" count="1" selected="0">
            <x v="0"/>
          </reference>
          <reference field="0" count="1" selected="0">
            <x v="0"/>
          </reference>
          <reference field="2" count="1" selected="0">
            <x v="4"/>
          </reference>
        </references>
      </pivotArea>
    </chartFormat>
    <chartFormat chart="16" format="23" series="1">
      <pivotArea type="data" outline="0" fieldPosition="0">
        <references count="3">
          <reference field="4294967294" count="1" selected="0">
            <x v="0"/>
          </reference>
          <reference field="0" count="1" selected="0">
            <x v="0"/>
          </reference>
          <reference field="2" count="1" selected="0">
            <x v="10"/>
          </reference>
        </references>
      </pivotArea>
    </chartFormat>
    <chartFormat chart="16" format="24" series="1">
      <pivotArea type="data" outline="0" fieldPosition="0">
        <references count="3">
          <reference field="4294967294" count="1" selected="0">
            <x v="0"/>
          </reference>
          <reference field="0" count="1" selected="0">
            <x v="0"/>
          </reference>
          <reference field="2" count="1" selected="0">
            <x v="14"/>
          </reference>
        </references>
      </pivotArea>
    </chartFormat>
    <chartFormat chart="0" format="16" series="1">
      <pivotArea type="data" outline="0" fieldPosition="0">
        <references count="3">
          <reference field="4294967294" count="1" selected="0">
            <x v="0"/>
          </reference>
          <reference field="0" count="1" selected="0">
            <x v="0"/>
          </reference>
          <reference field="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D8194C-D7C0-4789-90FD-C808250AB94E}" name="Pivot_Debt" cacheId="3" dataOnRows="1" applyNumberFormats="0" applyBorderFormats="0" applyFontFormats="0" applyPatternFormats="0" applyAlignmentFormats="0" applyWidthHeightFormats="1" dataCaption="Year" updatedVersion="7" minRefreshableVersion="3" useAutoFormatting="1" itemPrintTitles="1" createdVersion="7" indent="0" outline="1" outlineData="1" multipleFieldFilters="0" chartFormat="15">
  <location ref="A4:H19" firstHeaderRow="1" firstDataRow="3" firstDataCol="1"/>
  <pivotFields count="17">
    <pivotField axis="axisCol" showAll="0">
      <items count="5">
        <item x="3"/>
        <item x="2"/>
        <item x="1"/>
        <item x="0"/>
        <item t="default"/>
      </items>
    </pivotField>
    <pivotField showAll="0">
      <items count="5">
        <item x="3"/>
        <item x="2"/>
        <item x="1"/>
        <item x="0"/>
        <item t="default"/>
      </items>
    </pivotField>
    <pivotField showAll="0">
      <items count="25">
        <item x="13"/>
        <item x="21"/>
        <item x="12"/>
        <item x="11"/>
        <item x="23"/>
        <item x="18"/>
        <item x="7"/>
        <item x="8"/>
        <item x="9"/>
        <item x="10"/>
        <item x="19"/>
        <item x="14"/>
        <item x="16"/>
        <item x="15"/>
        <item x="22"/>
        <item x="17"/>
        <item x="20"/>
        <item x="1"/>
        <item x="6"/>
        <item x="2"/>
        <item x="3"/>
        <item x="4"/>
        <item x="5"/>
        <item x="0"/>
        <item t="default"/>
      </items>
    </pivotField>
    <pivotField axis="axisCol" multipleItemSelectionAllowed="1" showAll="0">
      <items count="75">
        <item h="1" x="48"/>
        <item x="50"/>
        <item x="51"/>
        <item x="49"/>
        <item h="1" x="35"/>
        <item h="1" x="57"/>
        <item h="1" x="66"/>
        <item h="1" x="59"/>
        <item h="1" x="62"/>
        <item h="1" x="69"/>
        <item h="1" x="65"/>
        <item h="1" x="63"/>
        <item h="1" x="67"/>
        <item h="1" x="68"/>
        <item h="1" x="64"/>
        <item h="1" x="61"/>
        <item h="1" x="58"/>
        <item h="1" x="60"/>
        <item h="1" x="5"/>
        <item h="1" x="9"/>
        <item h="1" x="14"/>
        <item h="1" x="42"/>
        <item h="1" x="40"/>
        <item h="1" x="41"/>
        <item h="1" x="43"/>
        <item h="1" x="39"/>
        <item h="1" x="21"/>
        <item x="52"/>
        <item h="1" x="18"/>
        <item h="1" x="30"/>
        <item h="1" x="28"/>
        <item h="1" x="2"/>
        <item h="1" x="4"/>
        <item h="1" x="7"/>
        <item h="1" x="6"/>
        <item h="1" x="10"/>
        <item h="1" x="33"/>
        <item h="1" x="34"/>
        <item h="1" x="20"/>
        <item h="1" x="19"/>
        <item h="1" x="46"/>
        <item h="1" x="70"/>
        <item h="1" x="73"/>
        <item x="47"/>
        <item h="1" x="55"/>
        <item h="1" x="25"/>
        <item h="1" x="23"/>
        <item h="1" x="27"/>
        <item h="1" x="26"/>
        <item h="1" x="24"/>
        <item h="1" x="31"/>
        <item h="1" x="22"/>
        <item h="1" x="37"/>
        <item h="1" x="38"/>
        <item h="1" x="36"/>
        <item h="1" x="54"/>
        <item h="1" x="12"/>
        <item h="1" x="16"/>
        <item h="1" x="3"/>
        <item h="1" x="32"/>
        <item h="1" x="1"/>
        <item h="1" x="13"/>
        <item h="1" x="8"/>
        <item h="1" x="11"/>
        <item h="1" x="44"/>
        <item h="1" x="56"/>
        <item h="1" x="72"/>
        <item h="1" x="17"/>
        <item h="1" x="45"/>
        <item h="1" x="71"/>
        <item h="1" x="53"/>
        <item h="1" x="29"/>
        <item h="1" x="0"/>
        <item h="1" x="15"/>
        <item t="default"/>
      </items>
    </pivotField>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s>
  <rowFields count="1">
    <field x="-2"/>
  </rowFields>
  <rowItems count="13">
    <i>
      <x/>
    </i>
    <i i="1">
      <x v="1"/>
    </i>
    <i i="2">
      <x v="2"/>
    </i>
    <i i="3">
      <x v="3"/>
    </i>
    <i i="4">
      <x v="4"/>
    </i>
    <i i="5">
      <x v="5"/>
    </i>
    <i i="6">
      <x v="6"/>
    </i>
    <i i="7">
      <x v="7"/>
    </i>
    <i i="8">
      <x v="8"/>
    </i>
    <i i="9">
      <x v="9"/>
    </i>
    <i i="10">
      <x v="10"/>
    </i>
    <i i="11">
      <x v="11"/>
    </i>
    <i i="12">
      <x v="12"/>
    </i>
  </rowItems>
  <colFields count="2">
    <field x="0"/>
    <field x="3"/>
  </colFields>
  <colItems count="7">
    <i>
      <x v="1"/>
      <x v="1"/>
    </i>
    <i r="1">
      <x v="2"/>
    </i>
    <i r="1">
      <x v="3"/>
    </i>
    <i r="1">
      <x v="27"/>
    </i>
    <i r="1">
      <x v="43"/>
    </i>
    <i t="default">
      <x v="1"/>
    </i>
    <i t="grand">
      <x/>
    </i>
  </colItems>
  <dataFields count="13">
    <dataField name="(2013-14)" fld="4" baseField="0" baseItem="0"/>
    <dataField name="(2014-15)" fld="5" baseField="0" baseItem="0"/>
    <dataField name="(2015-16)" fld="6" baseField="0" baseItem="0"/>
    <dataField name="(2016-17)" fld="7" baseField="0" baseItem="0"/>
    <dataField name="(2017-18)" fld="8" baseField="0" baseItem="0"/>
    <dataField name="(2018-19)" fld="9" baseField="0" baseItem="0"/>
    <dataField name="(2019-20)" fld="10" baseField="0" baseItem="0"/>
    <dataField name="(2020-21)" fld="11" baseField="0" baseItem="0"/>
    <dataField name="(2021-22)" fld="12" baseField="0" baseItem="0"/>
    <dataField name="(2022-23)" fld="13" baseField="0" baseItem="0"/>
    <dataField name="(2023-24)" fld="14" baseField="0" baseItem="0"/>
    <dataField name="(RE 2024-25)" fld="15" baseField="0" baseItem="0"/>
    <dataField name="(BE 2025-26)" fld="16"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series="1">
      <pivotArea type="data" outline="0" fieldPosition="0">
        <references count="1">
          <reference field="4294967294" count="1" selected="0">
            <x v="11"/>
          </reference>
        </references>
      </pivotArea>
    </chartFormat>
    <chartFormat chart="0" format="12" series="1">
      <pivotArea type="data" outline="0" fieldPosition="0">
        <references count="1">
          <reference field="4294967294" count="1" selected="0">
            <x v="12"/>
          </reference>
        </references>
      </pivotArea>
    </chartFormat>
    <chartFormat chart="0" format="13">
      <pivotArea type="data" outline="0" fieldPosition="0">
        <references count="3">
          <reference field="4294967294" count="1" selected="0">
            <x v="12"/>
          </reference>
          <reference field="0" count="1" selected="0">
            <x v="1"/>
          </reference>
          <reference field="3" count="1" selected="0">
            <x v="27"/>
          </reference>
        </references>
      </pivotArea>
    </chartFormat>
    <chartFormat chart="0" format="14" series="1">
      <pivotArea type="data" outline="0" fieldPosition="0">
        <references count="3">
          <reference field="4294967294" count="1" selected="0">
            <x v="0"/>
          </reference>
          <reference field="0" count="1" selected="0">
            <x v="1"/>
          </reference>
          <reference field="3" count="1" selected="0">
            <x v="27"/>
          </reference>
        </references>
      </pivotArea>
    </chartFormat>
    <chartFormat chart="0" format="15" series="1">
      <pivotArea type="data" outline="0" fieldPosition="0">
        <references count="3">
          <reference field="4294967294" count="1" selected="0">
            <x v="0"/>
          </reference>
          <reference field="0" count="1" selected="0">
            <x v="1"/>
          </reference>
          <reference field="3" count="1" selected="0">
            <x v="43"/>
          </reference>
        </references>
      </pivotArea>
    </chartFormat>
    <chartFormat chart="0" format="16" series="1">
      <pivotArea type="data" outline="0" fieldPosition="0">
        <references count="3">
          <reference field="4294967294" count="1" selected="0">
            <x v="0"/>
          </reference>
          <reference field="0" count="1" selected="0">
            <x v="1"/>
          </reference>
          <reference field="3" count="1" selected="0">
            <x v="3"/>
          </reference>
        </references>
      </pivotArea>
    </chartFormat>
    <chartFormat chart="0" format="17" series="1">
      <pivotArea type="data" outline="0" fieldPosition="0">
        <references count="3">
          <reference field="4294967294" count="1" selected="0">
            <x v="0"/>
          </reference>
          <reference field="0" count="1" selected="0">
            <x v="1"/>
          </reference>
          <reference field="3" count="1" selected="0">
            <x v="1"/>
          </reference>
        </references>
      </pivotArea>
    </chartFormat>
    <chartFormat chart="0" format="19" series="1">
      <pivotArea type="data" outline="0" fieldPosition="0">
        <references count="3">
          <reference field="4294967294" count="1" selected="0">
            <x v="0"/>
          </reference>
          <reference field="0" count="1" selected="0">
            <x v="1"/>
          </reference>
          <reference field="3" count="1" selected="0">
            <x v="2"/>
          </reference>
        </references>
      </pivotArea>
    </chartFormat>
    <chartFormat chart="12" format="25" series="1">
      <pivotArea type="data" outline="0" fieldPosition="0">
        <references count="3">
          <reference field="4294967294" count="1" selected="0">
            <x v="0"/>
          </reference>
          <reference field="0" count="1" selected="0">
            <x v="1"/>
          </reference>
          <reference field="3" count="1" selected="0">
            <x v="1"/>
          </reference>
        </references>
      </pivotArea>
    </chartFormat>
    <chartFormat chart="12" format="26" series="1">
      <pivotArea type="data" outline="0" fieldPosition="0">
        <references count="3">
          <reference field="4294967294" count="1" selected="0">
            <x v="0"/>
          </reference>
          <reference field="0" count="1" selected="0">
            <x v="1"/>
          </reference>
          <reference field="3" count="1" selected="0">
            <x v="2"/>
          </reference>
        </references>
      </pivotArea>
    </chartFormat>
    <chartFormat chart="12" format="27" series="1">
      <pivotArea type="data" outline="0" fieldPosition="0">
        <references count="3">
          <reference field="4294967294" count="1" selected="0">
            <x v="0"/>
          </reference>
          <reference field="0" count="1" selected="0">
            <x v="1"/>
          </reference>
          <reference field="3" count="1" selected="0">
            <x v="3"/>
          </reference>
        </references>
      </pivotArea>
    </chartFormat>
    <chartFormat chart="12" format="28" series="1">
      <pivotArea type="data" outline="0" fieldPosition="0">
        <references count="3">
          <reference field="4294967294" count="1" selected="0">
            <x v="0"/>
          </reference>
          <reference field="0" count="1" selected="0">
            <x v="1"/>
          </reference>
          <reference field="3" count="1" selected="0">
            <x v="27"/>
          </reference>
        </references>
      </pivotArea>
    </chartFormat>
    <chartFormat chart="12" format="29" series="1">
      <pivotArea type="data" outline="0" fieldPosition="0">
        <references count="3">
          <reference field="4294967294" count="1" selected="0">
            <x v="0"/>
          </reference>
          <reference field="0" count="1" selected="0">
            <x v="1"/>
          </reference>
          <reference field="3"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F7ABA9-4A18-4964-BCF6-7CE02EEEB8FC}" name="Pivot_NTR"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4:D11" firstHeaderRow="0" firstDataRow="1" firstDataCol="1" rowPageCount="1" colPageCount="1"/>
  <pivotFields count="17">
    <pivotField showAll="0"/>
    <pivotField axis="axisPage" multipleItemSelectionAllowed="1" showAll="0">
      <items count="5">
        <item h="1" x="3"/>
        <item h="1" x="2"/>
        <item h="1" x="1"/>
        <item x="0"/>
        <item t="default"/>
      </items>
    </pivotField>
    <pivotField showAll="0">
      <items count="25">
        <item x="13"/>
        <item x="21"/>
        <item x="12"/>
        <item x="11"/>
        <item x="23"/>
        <item x="18"/>
        <item x="7"/>
        <item x="8"/>
        <item x="9"/>
        <item x="10"/>
        <item x="19"/>
        <item x="14"/>
        <item x="16"/>
        <item x="15"/>
        <item x="22"/>
        <item x="17"/>
        <item x="20"/>
        <item x="1"/>
        <item x="6"/>
        <item x="2"/>
        <item x="3"/>
        <item x="4"/>
        <item x="5"/>
        <item x="0"/>
        <item t="default"/>
      </items>
    </pivotField>
    <pivotField axis="axisRow" multipleItemSelectionAllowed="1" showAll="0">
      <items count="75">
        <item h="1" x="48"/>
        <item h="1" x="50"/>
        <item h="1" x="51"/>
        <item h="1" x="49"/>
        <item h="1" x="35"/>
        <item h="1" x="57"/>
        <item h="1" x="66"/>
        <item h="1" x="59"/>
        <item h="1" x="62"/>
        <item h="1" x="69"/>
        <item h="1" x="65"/>
        <item h="1" x="63"/>
        <item h="1" x="67"/>
        <item h="1" x="68"/>
        <item h="1" x="64"/>
        <item h="1" x="61"/>
        <item h="1" x="58"/>
        <item h="1" x="60"/>
        <item h="1" x="5"/>
        <item h="1" x="9"/>
        <item h="1" x="14"/>
        <item h="1" x="42"/>
        <item h="1" x="40"/>
        <item h="1" x="41"/>
        <item h="1" x="43"/>
        <item h="1" x="39"/>
        <item x="21"/>
        <item h="1" x="52"/>
        <item h="1" x="18"/>
        <item h="1" x="30"/>
        <item h="1" x="28"/>
        <item h="1" x="2"/>
        <item h="1" x="4"/>
        <item h="1" x="7"/>
        <item h="1" x="6"/>
        <item h="1" x="10"/>
        <item h="1" x="33"/>
        <item h="1" x="34"/>
        <item x="20"/>
        <item h="1" x="19"/>
        <item h="1" x="46"/>
        <item h="1" x="70"/>
        <item h="1" x="73"/>
        <item h="1" x="47"/>
        <item h="1" x="55"/>
        <item n="Economic Services" x="25"/>
        <item n="General Services" x="23"/>
        <item n="Other Communication Services" x="27"/>
        <item n="Postal Receipts" x="26"/>
        <item h="1" x="24"/>
        <item h="1" x="31"/>
        <item h="1" x="22"/>
        <item h="1" x="37"/>
        <item h="1" x="38"/>
        <item h="1" x="36"/>
        <item h="1" x="54"/>
        <item h="1" x="12"/>
        <item h="1" x="16"/>
        <item h="1" x="3"/>
        <item h="1" x="32"/>
        <item h="1" x="1"/>
        <item h="1" x="13"/>
        <item h="1" x="8"/>
        <item h="1" x="11"/>
        <item h="1" x="44"/>
        <item h="1" x="56"/>
        <item h="1" x="72"/>
        <item h="1" x="17"/>
        <item h="1" x="45"/>
        <item h="1" x="71"/>
        <item h="1" x="53"/>
        <item h="1" x="29"/>
        <item h="1" x="0"/>
        <item h="1" x="15"/>
        <item t="default"/>
      </items>
    </pivotField>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numFmtId="166" showAll="0"/>
    <pivotField numFmtId="166" showAll="0"/>
    <pivotField numFmtId="166" showAll="0"/>
    <pivotField numFmtId="166" showAll="0"/>
    <pivotField dataField="1" numFmtId="166" showAll="0"/>
  </pivotFields>
  <rowFields count="1">
    <field x="3"/>
  </rowFields>
  <rowItems count="7">
    <i>
      <x v="26"/>
    </i>
    <i>
      <x v="38"/>
    </i>
    <i>
      <x v="45"/>
    </i>
    <i>
      <x v="46"/>
    </i>
    <i>
      <x v="47"/>
    </i>
    <i>
      <x v="48"/>
    </i>
    <i t="grand">
      <x/>
    </i>
  </rowItems>
  <colFields count="1">
    <field x="-2"/>
  </colFields>
  <colItems count="3">
    <i>
      <x/>
    </i>
    <i i="1">
      <x v="1"/>
    </i>
    <i i="2">
      <x v="2"/>
    </i>
  </colItems>
  <pageFields count="1">
    <pageField fld="1" hier="-1"/>
  </pageFields>
  <dataFields count="3">
    <dataField name=" 2013-14" fld="4" baseField="0" baseItem="0"/>
    <dataField name=" 2020-21" fld="11" baseField="0" baseItem="0"/>
    <dataField name="2025-26" fld="16" baseField="0" baseItem="0"/>
  </dataFields>
  <chartFormats count="21">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862E367-622F-41C2-999D-E696C7A1AA8F}" sourceName="Year">
  <pivotTables>
    <pivotTable tabId="8" name="Pivot_MainFlows"/>
  </pivotTables>
  <data>
    <tabular pivotCacheId="203932921">
      <items count="14">
        <i x="0" s="1"/>
        <i x="1" s="1"/>
        <i x="2" s="1"/>
        <i x="3" s="1"/>
        <i x="4" s="1"/>
        <i x="5" s="1"/>
        <i x="6" s="1"/>
        <i x="7" s="1"/>
        <i x="8" s="1"/>
        <i x="9" s="1"/>
        <i x="10" s="1"/>
        <i x="12" s="1"/>
        <i x="11" s="1"/>
        <i x="1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F3DDF3C-9F1A-419F-8D65-55EBC32A3572}" sourceName="Sub-Category">
  <pivotTables>
    <pivotTable tabId="14" name="Pivot_Tax"/>
  </pivotTables>
  <data>
    <tabular pivotCacheId="1820585982">
      <items count="7">
        <i x="6" s="1"/>
        <i x="3" s="1"/>
        <i x="4" s="1"/>
        <i x="5" s="1"/>
        <i x="1" s="1" nd="1"/>
        <i x="2" s="1" nd="1"/>
        <i x="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0207D6B5-E88B-4C96-AE52-7B8111E26FA4}" sourceName="Sub-Category">
  <pivotTables>
    <pivotTable tabId="16" name="Pivot_CapEx"/>
  </pivotTables>
  <data>
    <tabular pivotCacheId="592143082">
      <items count="24">
        <i x="21" s="1"/>
        <i x="12" s="1"/>
        <i x="23"/>
        <i x="19"/>
        <i x="22"/>
        <i x="20" s="1"/>
        <i x="0"/>
        <i x="13" nd="1"/>
        <i x="11" nd="1"/>
        <i x="18" nd="1"/>
        <i x="7" nd="1"/>
        <i x="8" nd="1"/>
        <i x="9" nd="1"/>
        <i x="10" nd="1"/>
        <i x="14" nd="1"/>
        <i x="16" nd="1"/>
        <i x="15" nd="1"/>
        <i x="17" nd="1"/>
        <i x="1" nd="1"/>
        <i x="6" nd="1"/>
        <i x="2" nd="1"/>
        <i x="3" nd="1"/>
        <i x="4"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7F025D9-938E-4B4E-913F-11ED01D562CE}" cache="Slicer_Year" caption="Filter Year" rowHeight="234950"/>
  <slicer name="Tax Sub-Category" xr10:uid="{A90E5C61-A17E-4C83-B3C6-D7BA31FD36AF}" cache="Slicer_Sub_Category" caption="Filter Tax Component" rowHeight="234950"/>
  <slicer name="Sub-Category" xr10:uid="{A34C11A8-C32F-43FC-BF15-216C12C1499F}" cache="Slicer_Sub_Category1" caption="Sub-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66525E-0A57-45AE-9AA4-3C3559F3D56B}" name="Table2" displayName="Table2" ref="A2:I16" totalsRowShown="0" headerRowBorderDxfId="96" tableBorderDxfId="95">
  <autoFilter ref="A2:I16" xr:uid="{1266525E-0A57-45AE-9AA4-3C3559F3D56B}"/>
  <tableColumns count="9">
    <tableColumn id="1" xr3:uid="{FC19C3CC-BCC6-490C-858C-E1B2B6425BE9}" name="Year" dataDxfId="94"/>
    <tableColumn id="2" xr3:uid="{2C37528C-966F-4A2B-9965-02CA1C1B2B85}" name="Revenue Receipts (₹Cr)" dataDxfId="93">
      <calculatedColumnFormula>'Main Data'!C3</calculatedColumnFormula>
    </tableColumn>
    <tableColumn id="3" xr3:uid="{FF009608-2963-447D-995F-55A057B27D4D}" name="Revenue Expenditure (₹Cr)" dataDxfId="92">
      <calculatedColumnFormula>'Main Data'!C16</calculatedColumnFormula>
    </tableColumn>
    <tableColumn id="4" xr3:uid="{643CFFC0-68EC-4BE6-8F2A-B403F09678C3}" name="Revenue Deficit (₹Cr)" dataDxfId="91">
      <calculatedColumnFormula>Table2[[#This Row],[Revenue Expenditure (₹Cr)]]-Table2[[#This Row],[Revenue Receipts (₹Cr)]]</calculatedColumnFormula>
    </tableColumn>
    <tableColumn id="5" xr3:uid="{8AA118D5-4CF1-4309-A7A6-1193184C242C}" name="Capital Receipts (₹Cr)" dataDxfId="90">
      <calculatedColumnFormula>'Main Data'!C29</calculatedColumnFormula>
    </tableColumn>
    <tableColumn id="6" xr3:uid="{56A3F40A-7CA2-4B90-9572-6DDCA3340871}" name="Capital Expenditure (₹Cr)" dataDxfId="89">
      <calculatedColumnFormula>'Main Data'!C42</calculatedColumnFormula>
    </tableColumn>
    <tableColumn id="7" xr3:uid="{C7E0BFA8-5DEF-43DE-9229-BA840A115114}" name="Capital Surplus (₹Cr)" dataDxfId="88">
      <calculatedColumnFormula>Table2[[#This Row],[Capital Receipts (₹Cr)]]-Table2[[#This Row],[Capital Expenditure (₹Cr)]]</calculatedColumnFormula>
    </tableColumn>
    <tableColumn id="8" xr3:uid="{97ECE001-515C-4084-8CE5-7FDA433654FE}" name="Rev Growth %" dataDxfId="87">
      <calculatedColumnFormula>(Table2[[#This Row],[Revenue Receipts (₹Cr)]]-B2)/B2</calculatedColumnFormula>
    </tableColumn>
    <tableColumn id="9" xr3:uid="{2A79CFEE-7B2B-4990-8492-8BCC8910FE5A}" name="Trend" dataDxfId="86">
      <calculatedColumnFormula>IF(Table2[[#This Row],[Revenue Receipts (₹Cr)]]&gt;B2," Growth"," Decline")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A6C205B-3CE2-41BB-A50D-911A34190D08}" name="Table8" displayName="Table8" ref="M4:P17" totalsRowShown="0" headerRowDxfId="85" dataDxfId="84">
  <autoFilter ref="M4:P17" xr:uid="{4A6C205B-3CE2-41BB-A50D-911A34190D08}"/>
  <tableColumns count="4">
    <tableColumn id="1" xr3:uid="{07E4076F-074F-4DFD-8AF8-07B14D384087}" name="Year" dataDxfId="83"/>
    <tableColumn id="2" xr3:uid="{8CAF5F87-3E56-4408-8549-A55A4EE24448}" name="Total Public Debt" dataDxfId="82"/>
    <tableColumn id="3" xr3:uid="{4F134E68-B6F6-42B4-97B2-3A58EA931CE2}" name="Total Public Debt Repayment" dataDxfId="81"/>
    <tableColumn id="4" xr3:uid="{03A3A0DC-16B8-4AEC-B58C-5C6023F16D33}" name="Net New Debt" dataDxfId="8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F83221-FEBB-4EB6-8C65-F4DA4B35A5C2}" name="main_data" displayName="main_data" ref="A2:D55" totalsRowCount="1" headerRowDxfId="79" headerRowBorderDxfId="78" tableBorderDxfId="77" totalsRowBorderDxfId="76">
  <autoFilter ref="A2:D54" xr:uid="{3DF83221-FEBB-4EB6-8C65-F4DA4B35A5C2}"/>
  <tableColumns count="4">
    <tableColumn id="1" xr3:uid="{AC23FFC6-2FE3-4417-8DF1-D2F5458AC6A9}" name="Category" dataDxfId="75" totalsRowDxfId="74"/>
    <tableColumn id="2" xr3:uid="{971CE1D8-0BF7-423A-BF74-BFD48DE96E95}" name="Year" dataDxfId="73" totalsRowDxfId="72"/>
    <tableColumn id="3" xr3:uid="{D247AB9F-215A-4E5F-8C0E-CF8908F25BA2}" name="Amount (₹ Crore)" dataDxfId="71" totalsRowDxfId="70"/>
    <tableColumn id="4" xr3:uid="{413977F9-98F7-46C9-A1CC-C1BFD878C6A9}" name="Sub-Category Label" dataDxfId="69" totalsRowDxfId="6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E7C3D3-BC2B-4C80-A5F1-A7B3FD02B4E1}" name="Table6" displayName="Table6" ref="A2:Q76" totalsRowShown="0" headerRowDxfId="67" dataDxfId="66">
  <autoFilter ref="A2:Q76" xr:uid="{37E7C3D3-BC2B-4C80-A5F1-A7B3FD02B4E1}"/>
  <tableColumns count="17">
    <tableColumn id="1" xr3:uid="{69C8D6B9-15CA-4E5D-9460-E30CE7C36AD1}" name="Statement" dataDxfId="65"/>
    <tableColumn id="2" xr3:uid="{D3A13A74-98A4-48A9-89E1-551E2C0EF92C}" name="Category" dataDxfId="64"/>
    <tableColumn id="3" xr3:uid="{C9D8B33B-3111-43B4-B04B-401F14BAED8F}" name="Sub-Category" dataDxfId="63"/>
    <tableColumn id="4" xr3:uid="{4B2C2672-22C6-4C5E-97E6-796D2D357F76}" name="Line Item" dataDxfId="62"/>
    <tableColumn id="5" xr3:uid="{70E0CA45-D9C5-46AA-8867-9D06CDF0ADD7}" name="2013-14" dataDxfId="61"/>
    <tableColumn id="6" xr3:uid="{F5146A88-849F-47D2-9D9E-C6048BF22BCA}" name="2014-15" dataDxfId="60"/>
    <tableColumn id="7" xr3:uid="{FF6649AE-3BB0-4F6B-B618-E8ECBF3483A2}" name="2015-16" dataDxfId="59"/>
    <tableColumn id="8" xr3:uid="{7DD57FE4-4A47-4FD5-A01B-59FC8938A0E2}" name="2016-17" dataDxfId="58"/>
    <tableColumn id="9" xr3:uid="{CB1D5864-2AA5-4367-B6DF-C23368C129AD}" name="2017-18" dataDxfId="57"/>
    <tableColumn id="10" xr3:uid="{5E86B266-F6CB-4B62-BD6F-82E024A80EEF}" name="2018-19" dataDxfId="56"/>
    <tableColumn id="11" xr3:uid="{A4A1594B-0112-4389-BDD7-B95E174C3E45}" name="2019-20" dataDxfId="55"/>
    <tableColumn id="12" xr3:uid="{2121D543-1A83-40D4-9B4B-39A694C781B9}" name="2020-21" dataDxfId="54"/>
    <tableColumn id="13" xr3:uid="{016F34A6-8BD4-4793-B56C-EFA0D1209E38}" name="2021-22" dataDxfId="53"/>
    <tableColumn id="14" xr3:uid="{EA4A744F-7D64-4BCE-A321-8E048917AC25}" name="2022-23" dataDxfId="52"/>
    <tableColumn id="15" xr3:uid="{35641A32-2E6E-4263-9DF7-B45F9E360107}" name="2023-24" dataDxfId="51"/>
    <tableColumn id="16" xr3:uid="{B4D65419-CD5A-4B54-B454-BA53B9FEA846}" name="RE 2024-25" dataDxfId="50"/>
    <tableColumn id="17" xr3:uid="{575B4D9A-1413-4F89-8A2D-7BBE3901D7BB}" name="BE 2025-26" dataDxfId="4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9B7E00-9065-4573-97C0-0CECC6E0F9D5}" name="Table7" displayName="Table7" ref="A2:N122" totalsRowShown="0" headerRowDxfId="48" dataDxfId="47" dataCellStyle="Normal 2">
  <autoFilter ref="A2:N122" xr:uid="{EB9B7E00-9065-4573-97C0-0CECC6E0F9D5}"/>
  <tableColumns count="14">
    <tableColumn id="1" xr3:uid="{AD98CDEB-4BE8-4E6B-9573-0FA1D7BD38A2}" name="Categories" dataDxfId="46"/>
    <tableColumn id="2" xr3:uid="{1C671819-7782-4D88-A299-9E53F4EC86B0}" name="Actuals_x000a_2013-2014_x000a_" dataDxfId="45"/>
    <tableColumn id="3" xr3:uid="{2A58DF84-7749-4F47-B650-8CC3E2389019}" name="Actuals_x000a_2014-2015_x000a_" dataDxfId="44"/>
    <tableColumn id="4" xr3:uid="{3A91534C-06BE-4C64-BFE0-A1DE2DBCD188}" name="Actuals_x000a_2015-2016_x000a_" dataDxfId="43"/>
    <tableColumn id="5" xr3:uid="{183454C4-672B-48DF-A8DC-9A25332E9AD6}" name="Actuals_x000a_2016-2017_x000a_" dataDxfId="42"/>
    <tableColumn id="6" xr3:uid="{3F30A29D-FFA0-45D9-89F6-6B421D7F1CD6}" name="Actuals_x000a_2017-2018_x000a_" dataDxfId="41"/>
    <tableColumn id="7" xr3:uid="{E94B5ADF-AAFD-448F-9ADA-73902E44B551}" name="Actuals_x000a_2018-2019_x000a_" dataDxfId="40"/>
    <tableColumn id="8" xr3:uid="{8F94AE2C-BC14-4C6E-965F-53735282EE6B}" name="Actuals_x000a_2019-2020_x000a_" dataDxfId="39"/>
    <tableColumn id="9" xr3:uid="{3CA11DF2-4F6F-49B9-8576-28218546C6B3}" name="Actuals_x000a_2020-2021_x000a_" dataDxfId="38"/>
    <tableColumn id="10" xr3:uid="{DA18D814-2EFD-4665-92FA-BC8A0825B154}" name="Actuals_x000a_2021-2022_x000a_" dataDxfId="37"/>
    <tableColumn id="11" xr3:uid="{294E8F1F-C25D-4256-AF13-14E0F78F743D}" name="Actuals_x000a_2022-2023_x000a_" dataDxfId="36"/>
    <tableColumn id="12" xr3:uid="{9AC792C2-373A-4A8F-95DA-FC1CA7CCB0EE}" name="Actuals_x000a_2023-2024_x000a_" dataDxfId="35" dataCellStyle="Normal 2"/>
    <tableColumn id="13" xr3:uid="{AD64C388-5ECF-444E-9B4B-E9E7DB3020F8}" name="Revised Estimates_x000a_2024-2025" dataDxfId="34" dataCellStyle="Normal 2"/>
    <tableColumn id="14" xr3:uid="{47E5C92D-39D0-4FC5-8599-7EED8F7D8F93}" name="Budget Estimates_x000a_2025-2026" dataDxfId="33" dataCellStyle="Normal 2"/>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5C4D6B-032D-4E0D-A0F9-77C579F7474B}" name="Table5" displayName="Table5" ref="A2:N141" totalsRowShown="0" headerRowDxfId="32">
  <autoFilter ref="A2:N141" xr:uid="{3F5C4D6B-032D-4E0D-A0F9-77C579F7474B}"/>
  <tableColumns count="14">
    <tableColumn id="1" xr3:uid="{5C94AF00-3E52-44A6-A1F1-26FA9DF11DBE}" name="Categories"/>
    <tableColumn id="2" xr3:uid="{898CF524-BD03-4254-8B5E-460D8C8438A5}" name="Actuals_x000a_2013-2014_x000a_"/>
    <tableColumn id="3" xr3:uid="{259C1978-91BF-43CF-A957-E8A868BA5D14}" name="Actuals_x000a_2014-2015_x000a_"/>
    <tableColumn id="4" xr3:uid="{56714EC9-ECB0-444A-84B7-6375A3AD8AEC}" name="Actuals_x000a_2015-2016_x000a_"/>
    <tableColumn id="5" xr3:uid="{74EED6D2-F92A-4C3F-BFF5-E7667DA8F414}" name="Actuals_x000a_2016-2017_x000a_"/>
    <tableColumn id="6" xr3:uid="{A4E71399-26BD-4F07-8D3C-7400845EB68D}" name="Actuals_x000a_2017-2018_x000a_"/>
    <tableColumn id="7" xr3:uid="{A4E9E1B5-8387-44A3-A6C3-2917ECC9B80E}" name="Actuals_x000a_2018-2019_x000a_"/>
    <tableColumn id="8" xr3:uid="{B6182490-BC5F-4FEB-B970-18F8ADDD68A3}" name="Actuals_x000a_2019-2020_x000a_"/>
    <tableColumn id="9" xr3:uid="{F70522B3-3AD6-4D6F-8113-9E7BE4A6A58D}" name="Actuals_x000a_2020-2021_x000a_"/>
    <tableColumn id="10" xr3:uid="{CAA06581-4650-4AC3-A10C-B50C3A1D775B}" name="Actuals_x000a_2021-2022_x000a_"/>
    <tableColumn id="11" xr3:uid="{5BDE3F5B-DD36-4CEC-8023-7D44F1AF8650}" name="Actuals_x000a_2022-2023_x000a_"/>
    <tableColumn id="12" xr3:uid="{227F99BA-2E72-491B-9169-8E5F2674A4A8}" name="Actuals_x000a_2023-2024_x000a_"/>
    <tableColumn id="13" xr3:uid="{B9B0088E-BE9E-40BC-A77B-26F3095EAAAC}" name="Revised Estimates_x000a_2024-2025"/>
    <tableColumn id="14" xr3:uid="{E7DB1E87-E4E8-40B6-8B7A-F32DF59E430C}" name="Budget Estimates_x000a_2025-2026"/>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96095E-CFDF-49B6-A327-153737E683EC}" name="Table4" displayName="Table4" ref="A2:N34" totalsRowShown="0" headerRowDxfId="31" dataDxfId="30">
  <autoFilter ref="A2:N34" xr:uid="{6C96095E-CFDF-49B6-A327-153737E683EC}"/>
  <tableColumns count="14">
    <tableColumn id="1" xr3:uid="{CDD6975D-F7EC-4144-8CD8-295D2CCE185B}" name="Categories" dataDxfId="29"/>
    <tableColumn id="2" xr3:uid="{7F7EE467-9283-440C-BF50-C3764A4926A5}" name="Actuals_x000a_2013-2014_x000a_" dataDxfId="28"/>
    <tableColumn id="3" xr3:uid="{B0BBA0E4-1674-464D-B288-215F3464344E}" name="Actuals_x000a_2014-2015_x000a_" dataDxfId="27"/>
    <tableColumn id="4" xr3:uid="{5A85ADCD-A711-4CE8-A2F4-31A8A858973D}" name="Actuals_x000a_2015-2016_x000a_" dataDxfId="26"/>
    <tableColumn id="5" xr3:uid="{CB6F07B6-65DE-441E-B43B-61C72F9FA044}" name="Actuals_x000a_2016-2017_x000a_" dataDxfId="25"/>
    <tableColumn id="6" xr3:uid="{08A313B1-45C2-43DB-B327-B259AFA5025F}" name="Actuals_x000a_2017-2018_x000a_" dataDxfId="24"/>
    <tableColumn id="7" xr3:uid="{D30E7983-A8E0-4035-B9C1-977F67F9F531}" name="Actuals_x000a_2018-2019_x000a_" dataDxfId="23"/>
    <tableColumn id="8" xr3:uid="{A7B50C4B-CB03-45A0-8767-BE753F16FCF0}" name="Actuals_x000a_2019-2020_x000a_" dataDxfId="22"/>
    <tableColumn id="9" xr3:uid="{09A1C064-D597-43F7-957C-AC3F15E2DF86}" name="Actuals_x000a_2020-2021_x000a_" dataDxfId="21"/>
    <tableColumn id="10" xr3:uid="{772D33DD-04F2-462A-AE20-5783CB3D5CFA}" name="Actuals_x000a_2021-2022_x000a_" dataDxfId="20"/>
    <tableColumn id="11" xr3:uid="{8F5B912B-5312-4322-BE89-B127E64BA77B}" name="Actuals_x000a_2022-2023_x000a_" dataDxfId="19"/>
    <tableColumn id="12" xr3:uid="{26F55E30-3FBE-475F-9EA6-DCB69F8AB8B1}" name="Actuals_x000a_2023-2024_x000a_" dataDxfId="18"/>
    <tableColumn id="13" xr3:uid="{6EB08FBB-77C5-4959-90E9-CD674EB1F9BA}" name="Revised Estimates_x000a_2024-2025" dataDxfId="17"/>
    <tableColumn id="14" xr3:uid="{96FD6339-7A49-428C-A492-301A6BABBB14}" name="Budget Estimates_x000a_2025-2026" dataDxfId="16"/>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32CD27-173E-4D07-AB11-6D8937D4E9D4}" name="Table3" displayName="Table3" ref="A2:N158" totalsRowShown="0" headerRowDxfId="15" dataDxfId="14">
  <autoFilter ref="A2:N158" xr:uid="{CA32CD27-173E-4D07-AB11-6D8937D4E9D4}"/>
  <tableColumns count="14">
    <tableColumn id="1" xr3:uid="{6347D47F-E26A-4803-AF18-FD3EA9C4F8F7}" name="Categories" dataDxfId="13"/>
    <tableColumn id="2" xr3:uid="{65987C24-6F64-4C5A-AFED-D0DB110BA19A}" name="Actuals_x000a_2013-2014_x000a_" dataDxfId="12"/>
    <tableColumn id="3" xr3:uid="{89DDAD44-9AFB-4243-A7DE-9B0CFCB9EC8B}" name="Actuals_x000a_2014-2015_x000a_" dataDxfId="11"/>
    <tableColumn id="4" xr3:uid="{2F4E25F4-0558-4915-94D3-40CD1800C977}" name="Actuals_x000a_2015-2016_x000a_" dataDxfId="10"/>
    <tableColumn id="5" xr3:uid="{752DB6E7-ED11-433A-895A-15980608D558}" name="Actuals_x000a_2016-2017_x000a_" dataDxfId="9"/>
    <tableColumn id="6" xr3:uid="{49682E27-8DD3-40E3-85C6-D39174D1EF3B}" name="Actuals_x000a_2017-2018_x000a_" dataDxfId="8"/>
    <tableColumn id="7" xr3:uid="{9A5743FE-E90F-46C6-B40B-401234609EFE}" name="Actuals_x000a_2018-2019_x000a_" dataDxfId="7"/>
    <tableColumn id="8" xr3:uid="{033ABA1F-4628-4BF6-887E-34FCCA61D9B3}" name="Actuals_x000a_2019-2020_x000a_" dataDxfId="6"/>
    <tableColumn id="9" xr3:uid="{A81F455B-665C-447B-9321-333271E12A46}" name="Actuals_x000a_2020-2021_x000a_" dataDxfId="5"/>
    <tableColumn id="10" xr3:uid="{BF27A81A-8CCE-4141-8219-B628619F9CDF}" name="Actuals_x000a_2021-2022_x000a_" dataDxfId="4"/>
    <tableColumn id="11" xr3:uid="{3774148D-7523-421F-AE58-EAD81AD7685F}" name="Actuals_x000a_2022-2023_x000a_" dataDxfId="3"/>
    <tableColumn id="12" xr3:uid="{044F0E72-C16F-4578-B21C-BF9DD1AF370E}" name="Actuals_x000a_2023-2024_x000a_" dataDxfId="2"/>
    <tableColumn id="13" xr3:uid="{3271C1F9-5ED8-4EB9-B8BC-F27DBD861A62}" name="Revised Estimates_x000a_2024-2025" dataDxfId="1"/>
    <tableColumn id="14" xr3:uid="{4163E9E4-A08F-49A6-A6D2-CC211C82F97C}" name="Budget Estimates_x000a_2025-2026"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6C6B4-094D-4C56-A02A-EEADD8FE0868}">
  <sheetPr>
    <tabColor rgb="FF008000"/>
  </sheetPr>
  <dimension ref="A3:AJ125"/>
  <sheetViews>
    <sheetView tabSelected="1" zoomScale="35" zoomScaleNormal="70" workbookViewId="0"/>
  </sheetViews>
  <sheetFormatPr defaultRowHeight="14.4" x14ac:dyDescent="0.3"/>
  <cols>
    <col min="1" max="1" width="12.88671875" style="152" customWidth="1"/>
    <col min="2" max="2" width="33" style="152" customWidth="1"/>
    <col min="3" max="3" width="3.44140625" style="151" customWidth="1"/>
    <col min="4" max="4" width="11.21875" style="151" bestFit="1" customWidth="1"/>
    <col min="5" max="16384" width="8.88671875" style="151"/>
  </cols>
  <sheetData>
    <row r="3" spans="2:36" x14ac:dyDescent="0.3">
      <c r="AH3" s="154"/>
    </row>
    <row r="4" spans="2:36" x14ac:dyDescent="0.3">
      <c r="AJ4" s="154"/>
    </row>
    <row r="6" spans="2:36" ht="94.2" customHeight="1" x14ac:dyDescent="0.3"/>
    <row r="8" spans="2:36" ht="28.8" x14ac:dyDescent="0.55000000000000004">
      <c r="B8" s="155" t="s">
        <v>12</v>
      </c>
      <c r="M8" s="152"/>
      <c r="N8" s="152"/>
      <c r="O8" s="152"/>
      <c r="P8" s="152"/>
      <c r="AB8" s="154"/>
    </row>
    <row r="9" spans="2:36" x14ac:dyDescent="0.3">
      <c r="M9" s="152"/>
      <c r="N9" s="152"/>
      <c r="O9" s="152"/>
      <c r="P9" s="152"/>
    </row>
    <row r="10" spans="2:36" x14ac:dyDescent="0.3">
      <c r="D10" s="160">
        <f>VLOOKUP(B8,'Analytics and main data'!$A:$H,2,0)</f>
        <v>1948083.53</v>
      </c>
      <c r="E10" s="160"/>
      <c r="F10" s="160"/>
      <c r="G10" s="153"/>
      <c r="H10" s="161">
        <f>VLOOKUP(B8,'Analytics and main data'!$A:$H,3,0)</f>
        <v>2615319.67</v>
      </c>
      <c r="I10" s="161"/>
      <c r="J10" s="161"/>
      <c r="K10" s="161"/>
      <c r="L10" s="153"/>
      <c r="M10" s="161">
        <f>VLOOKUP(B8,'Analytics and main data'!$A:$H,5,0)</f>
        <v>7370383.4699999997</v>
      </c>
      <c r="N10" s="161"/>
      <c r="O10" s="161"/>
      <c r="P10" s="161"/>
      <c r="Q10" s="153"/>
      <c r="R10" s="161">
        <f>VLOOKUP(B8,'Analytics and main data'!$A:$H,6,0)</f>
        <v>6759434.6500000004</v>
      </c>
      <c r="S10" s="161"/>
      <c r="T10" s="161"/>
      <c r="U10" s="161"/>
      <c r="V10" s="153"/>
      <c r="W10" s="157">
        <f>VLOOKUP(B8,'Analytics and main data'!$A:$H,8,0)</f>
        <v>7.8396638655592502E-2</v>
      </c>
      <c r="X10" s="157"/>
      <c r="Y10" s="157"/>
      <c r="Z10" s="157"/>
    </row>
    <row r="11" spans="2:36" x14ac:dyDescent="0.3">
      <c r="D11" s="160"/>
      <c r="E11" s="160"/>
      <c r="F11" s="160"/>
      <c r="G11" s="153"/>
      <c r="H11" s="161"/>
      <c r="I11" s="161"/>
      <c r="J11" s="161"/>
      <c r="K11" s="161"/>
      <c r="L11" s="153"/>
      <c r="M11" s="161"/>
      <c r="N11" s="161"/>
      <c r="O11" s="161"/>
      <c r="P11" s="161"/>
      <c r="Q11" s="153"/>
      <c r="R11" s="161"/>
      <c r="S11" s="161"/>
      <c r="T11" s="161"/>
      <c r="U11" s="161"/>
      <c r="V11" s="153"/>
      <c r="W11" s="157"/>
      <c r="X11" s="157"/>
      <c r="Y11" s="157"/>
      <c r="Z11" s="157"/>
    </row>
    <row r="12" spans="2:36" x14ac:dyDescent="0.3">
      <c r="D12" s="160"/>
      <c r="E12" s="160"/>
      <c r="F12" s="160"/>
      <c r="G12" s="153"/>
      <c r="H12" s="161"/>
      <c r="I12" s="161"/>
      <c r="J12" s="161"/>
      <c r="K12" s="161"/>
      <c r="L12" s="153"/>
      <c r="M12" s="161"/>
      <c r="N12" s="161"/>
      <c r="O12" s="161"/>
      <c r="P12" s="161"/>
      <c r="Q12" s="153"/>
      <c r="R12" s="161"/>
      <c r="S12" s="161"/>
      <c r="T12" s="161"/>
      <c r="U12" s="161"/>
      <c r="V12" s="153"/>
      <c r="W12" s="157"/>
      <c r="X12" s="157"/>
      <c r="Y12" s="157"/>
      <c r="Z12" s="157"/>
    </row>
    <row r="115" spans="5:18" x14ac:dyDescent="0.3">
      <c r="E115" s="158" t="s">
        <v>507</v>
      </c>
      <c r="F115" s="158"/>
      <c r="G115" s="158"/>
      <c r="H115" s="158"/>
      <c r="I115" s="158"/>
      <c r="J115" s="158"/>
      <c r="K115" s="158"/>
      <c r="L115" s="158"/>
      <c r="M115" s="158"/>
      <c r="N115" s="158"/>
      <c r="O115" s="158"/>
      <c r="P115" s="158"/>
      <c r="Q115" s="158"/>
      <c r="R115" s="158"/>
    </row>
    <row r="116" spans="5:18" x14ac:dyDescent="0.3">
      <c r="E116" s="158"/>
      <c r="F116" s="158"/>
      <c r="G116" s="158"/>
      <c r="H116" s="158"/>
      <c r="I116" s="158"/>
      <c r="J116" s="158"/>
      <c r="K116" s="158"/>
      <c r="L116" s="158"/>
      <c r="M116" s="158"/>
      <c r="N116" s="158"/>
      <c r="O116" s="158"/>
      <c r="P116" s="158"/>
      <c r="Q116" s="158"/>
      <c r="R116" s="158"/>
    </row>
    <row r="117" spans="5:18" x14ac:dyDescent="0.3">
      <c r="E117" s="158"/>
      <c r="F117" s="158"/>
      <c r="G117" s="158"/>
      <c r="H117" s="158"/>
      <c r="I117" s="158"/>
      <c r="J117" s="158"/>
      <c r="K117" s="158"/>
      <c r="L117" s="158"/>
      <c r="M117" s="158"/>
      <c r="N117" s="158"/>
      <c r="O117" s="158"/>
      <c r="P117" s="158"/>
      <c r="Q117" s="158"/>
      <c r="R117" s="158"/>
    </row>
    <row r="118" spans="5:18" x14ac:dyDescent="0.3">
      <c r="E118" s="158"/>
      <c r="F118" s="158"/>
      <c r="G118" s="158"/>
      <c r="H118" s="158"/>
      <c r="I118" s="158"/>
      <c r="J118" s="158"/>
      <c r="K118" s="158"/>
      <c r="L118" s="158"/>
      <c r="M118" s="158"/>
      <c r="N118" s="158"/>
      <c r="O118" s="158"/>
      <c r="P118" s="158"/>
      <c r="Q118" s="158"/>
      <c r="R118" s="158"/>
    </row>
    <row r="119" spans="5:18" x14ac:dyDescent="0.3">
      <c r="E119" s="158"/>
      <c r="F119" s="158"/>
      <c r="G119" s="158"/>
      <c r="H119" s="158"/>
      <c r="I119" s="158"/>
      <c r="J119" s="158"/>
      <c r="K119" s="158"/>
      <c r="L119" s="158"/>
      <c r="M119" s="158"/>
      <c r="N119" s="158"/>
      <c r="O119" s="158"/>
      <c r="P119" s="158"/>
      <c r="Q119" s="158"/>
      <c r="R119" s="158"/>
    </row>
    <row r="121" spans="5:18" x14ac:dyDescent="0.3">
      <c r="E121" s="159" t="s">
        <v>508</v>
      </c>
      <c r="F121" s="159"/>
      <c r="G121" s="159"/>
      <c r="H121" s="159"/>
      <c r="I121" s="159"/>
      <c r="J121" s="159"/>
      <c r="K121" s="159"/>
      <c r="L121" s="159"/>
      <c r="M121" s="159"/>
      <c r="N121" s="159"/>
      <c r="O121" s="159"/>
      <c r="P121" s="159"/>
      <c r="Q121" s="159"/>
      <c r="R121" s="159"/>
    </row>
    <row r="122" spans="5:18" x14ac:dyDescent="0.3">
      <c r="E122" s="159"/>
      <c r="F122" s="159"/>
      <c r="G122" s="159"/>
      <c r="H122" s="159"/>
      <c r="I122" s="159"/>
      <c r="J122" s="159"/>
      <c r="K122" s="159"/>
      <c r="L122" s="159"/>
      <c r="M122" s="159"/>
      <c r="N122" s="159"/>
      <c r="O122" s="159"/>
      <c r="P122" s="159"/>
      <c r="Q122" s="159"/>
      <c r="R122" s="159"/>
    </row>
    <row r="123" spans="5:18" x14ac:dyDescent="0.3">
      <c r="E123" s="159"/>
      <c r="F123" s="159"/>
      <c r="G123" s="159"/>
      <c r="H123" s="159"/>
      <c r="I123" s="159"/>
      <c r="J123" s="159"/>
      <c r="K123" s="159"/>
      <c r="L123" s="159"/>
      <c r="M123" s="159"/>
      <c r="N123" s="159"/>
      <c r="O123" s="159"/>
      <c r="P123" s="159"/>
      <c r="Q123" s="159"/>
      <c r="R123" s="159"/>
    </row>
    <row r="124" spans="5:18" x14ac:dyDescent="0.3">
      <c r="E124" s="159"/>
      <c r="F124" s="159"/>
      <c r="G124" s="159"/>
      <c r="H124" s="159"/>
      <c r="I124" s="159"/>
      <c r="J124" s="159"/>
      <c r="K124" s="159"/>
      <c r="L124" s="159"/>
      <c r="M124" s="159"/>
      <c r="N124" s="159"/>
      <c r="O124" s="159"/>
      <c r="P124" s="159"/>
      <c r="Q124" s="159"/>
      <c r="R124" s="159"/>
    </row>
    <row r="125" spans="5:18" x14ac:dyDescent="0.3">
      <c r="E125" s="159"/>
      <c r="F125" s="159"/>
      <c r="G125" s="159"/>
      <c r="H125" s="159"/>
      <c r="I125" s="159"/>
      <c r="J125" s="159"/>
      <c r="K125" s="159"/>
      <c r="L125" s="159"/>
      <c r="M125" s="159"/>
      <c r="N125" s="159"/>
      <c r="O125" s="159"/>
      <c r="P125" s="159"/>
      <c r="Q125" s="159"/>
      <c r="R125" s="159"/>
    </row>
  </sheetData>
  <mergeCells count="7">
    <mergeCell ref="W10:Z12"/>
    <mergeCell ref="E115:R119"/>
    <mergeCell ref="E121:R125"/>
    <mergeCell ref="D10:F12"/>
    <mergeCell ref="H10:K12"/>
    <mergeCell ref="M10:P12"/>
    <mergeCell ref="R10:U12"/>
  </mergeCells>
  <hyperlinks>
    <hyperlink ref="E115:R119" location="Report!A1" display="Visit Detailed Report" xr:uid="{4AE4595B-31D8-407A-9AF0-5ADACECC65ED}"/>
    <hyperlink ref="E121:R125" location="'Sub Components'!A1" display="Source Data" xr:uid="{B58C70FB-2FC8-4909-A886-AF88C246DBC3}"/>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E7AB286-713A-4204-ACD9-8B3BFFBA2BE8}">
          <x14:formula1>
            <xm:f>'Analytics and main data'!$A$3:$A$15</xm:f>
          </x14:formula1>
          <xm:sqref>B8</xm:sqref>
        </x14:dataValidation>
      </x14:dataValidation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DE93E-4D35-44CA-8985-1BE6536015A2}">
  <sheetPr>
    <tabColor rgb="FFFF0000"/>
  </sheetPr>
  <dimension ref="A1"/>
  <sheetViews>
    <sheetView topLeftCell="A3" zoomScale="76"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152E-D4C5-4449-85B9-666DF23F315E}">
  <sheetPr>
    <tabColor rgb="FFFFC000"/>
  </sheetPr>
  <dimension ref="A1:I19"/>
  <sheetViews>
    <sheetView zoomScale="81" workbookViewId="0">
      <selection activeCell="C23" sqref="C23"/>
    </sheetView>
  </sheetViews>
  <sheetFormatPr defaultRowHeight="14.4" x14ac:dyDescent="0.3"/>
  <cols>
    <col min="1" max="1" width="20.33203125" customWidth="1"/>
    <col min="2" max="2" width="24.109375" customWidth="1"/>
    <col min="3" max="3" width="30.6640625" customWidth="1"/>
    <col min="4" max="4" width="31.6640625" customWidth="1"/>
    <col min="5" max="5" width="23.44140625" customWidth="1"/>
    <col min="6" max="6" width="26.44140625" customWidth="1"/>
    <col min="7" max="7" width="22.77734375" customWidth="1"/>
    <col min="8" max="8" width="22" style="26" customWidth="1"/>
    <col min="9" max="9" width="14.44140625" customWidth="1"/>
  </cols>
  <sheetData>
    <row r="1" spans="1:9" x14ac:dyDescent="0.3">
      <c r="B1" s="162" t="s">
        <v>36</v>
      </c>
      <c r="C1" s="162"/>
      <c r="D1" s="162"/>
      <c r="E1" s="162"/>
      <c r="F1" s="162"/>
      <c r="G1" s="162"/>
      <c r="H1" s="162"/>
      <c r="I1" s="162"/>
    </row>
    <row r="2" spans="1:9" x14ac:dyDescent="0.3">
      <c r="A2" s="19" t="s">
        <v>1</v>
      </c>
      <c r="B2" s="20" t="s">
        <v>25</v>
      </c>
      <c r="C2" s="21" t="s">
        <v>26</v>
      </c>
      <c r="D2" s="21" t="s">
        <v>27</v>
      </c>
      <c r="E2" s="22" t="s">
        <v>28</v>
      </c>
      <c r="F2" s="22" t="s">
        <v>29</v>
      </c>
      <c r="G2" s="23" t="s">
        <v>30</v>
      </c>
      <c r="H2" s="25" t="s">
        <v>31</v>
      </c>
      <c r="I2" s="28" t="s">
        <v>32</v>
      </c>
    </row>
    <row r="3" spans="1:9" x14ac:dyDescent="0.3">
      <c r="A3" s="17" t="s">
        <v>5</v>
      </c>
      <c r="B3" s="34">
        <f>'Main Data'!C3</f>
        <v>1217798.79</v>
      </c>
      <c r="C3" s="32">
        <f>'Main Data'!C16</f>
        <v>1575096.57</v>
      </c>
      <c r="D3" s="33">
        <f>(Table2[[#This Row],[Revenue Expenditure (₹Cr)]]-Table2[[#This Row],[Revenue Receipts (₹Cr)]])*-1</f>
        <v>-357297.78</v>
      </c>
      <c r="E3" s="31">
        <f>'Main Data'!C29</f>
        <v>4048883.11</v>
      </c>
      <c r="F3" s="30">
        <f>'Main Data'!C42</f>
        <v>3711135.71</v>
      </c>
      <c r="G3" s="29">
        <f>Table2[[#This Row],[Capital Receipts (₹Cr)]]-Table2[[#This Row],[Capital Expenditure (₹Cr)]]</f>
        <v>337747.39999999991</v>
      </c>
      <c r="H3" s="39" t="s">
        <v>33</v>
      </c>
      <c r="I3" s="40" t="s">
        <v>34</v>
      </c>
    </row>
    <row r="4" spans="1:9" x14ac:dyDescent="0.3">
      <c r="A4" s="17" t="s">
        <v>7</v>
      </c>
      <c r="B4" s="34">
        <f>'Main Data'!C4</f>
        <v>1328908.96</v>
      </c>
      <c r="C4" s="32">
        <f>'Main Data'!C17</f>
        <v>1695136.79</v>
      </c>
      <c r="D4" s="33">
        <f>(Table2[[#This Row],[Revenue Expenditure (₹Cr)]]-Table2[[#This Row],[Revenue Receipts (₹Cr)]])*-1</f>
        <v>-366227.83000000007</v>
      </c>
      <c r="E4" s="31">
        <f>'Main Data'!C30</f>
        <v>4282482.8499999996</v>
      </c>
      <c r="F4" s="30">
        <f>'Main Data'!C43</f>
        <v>3921706.24</v>
      </c>
      <c r="G4" s="29">
        <f>Table2[[#This Row],[Capital Receipts (₹Cr)]]-Table2[[#This Row],[Capital Expenditure (₹Cr)]]</f>
        <v>360776.6099999994</v>
      </c>
      <c r="H4" s="27">
        <f>(Table2[[#This Row],[Revenue Receipts (₹Cr)]]-B3)/B3</f>
        <v>9.1238528821333389E-2</v>
      </c>
      <c r="I4" s="41" t="str">
        <f>IF(Table2[[#This Row],[Revenue Receipts (₹Cr)]]&gt;B3,"▲Growth","▼ Decline")</f>
        <v>▲Growth</v>
      </c>
    </row>
    <row r="5" spans="1:9" x14ac:dyDescent="0.3">
      <c r="A5" s="17" t="s">
        <v>8</v>
      </c>
      <c r="B5" s="34">
        <f>'Main Data'!C5</f>
        <v>1436160.22</v>
      </c>
      <c r="C5" s="32">
        <f>'Main Data'!C18</f>
        <v>1779528.81</v>
      </c>
      <c r="D5" s="33">
        <f>(Table2[[#This Row],[Revenue Expenditure (₹Cr)]]-Table2[[#This Row],[Revenue Receipts (₹Cr)]])*-1</f>
        <v>-343368.59000000008</v>
      </c>
      <c r="E5" s="31">
        <f>'Main Data'!C31</f>
        <v>4400951.21</v>
      </c>
      <c r="F5" s="30">
        <f>'Main Data'!C44</f>
        <v>4063795.25</v>
      </c>
      <c r="G5" s="29">
        <f>Table2[[#This Row],[Capital Receipts (₹Cr)]]-Table2[[#This Row],[Capital Expenditure (₹Cr)]]</f>
        <v>337155.95999999996</v>
      </c>
      <c r="H5" s="27">
        <f>(Table2[[#This Row],[Revenue Receipts (₹Cr)]]-B4)/B4</f>
        <v>8.0706250938363769E-2</v>
      </c>
      <c r="I5" s="41" t="str">
        <f>IF(Table2[[#This Row],[Revenue Receipts (₹Cr)]]&gt;B4,"▲Growth","▼ Decline")</f>
        <v>▲Growth</v>
      </c>
    </row>
    <row r="6" spans="1:9" x14ac:dyDescent="0.3">
      <c r="A6" s="17" t="s">
        <v>9</v>
      </c>
      <c r="B6" s="34">
        <f>'Main Data'!C6</f>
        <v>1615987.98</v>
      </c>
      <c r="C6" s="32">
        <f>'Main Data'!C19</f>
        <v>1933018.06</v>
      </c>
      <c r="D6" s="33">
        <f>(Table2[[#This Row],[Revenue Expenditure (₹Cr)]]-Table2[[#This Row],[Revenue Receipts (₹Cr)]])*-1</f>
        <v>-317030.08000000007</v>
      </c>
      <c r="E6" s="31">
        <f>'Main Data'!C32</f>
        <v>6222850.2400000002</v>
      </c>
      <c r="F6" s="30">
        <f>'Main Data'!C45</f>
        <v>5988306.4100000001</v>
      </c>
      <c r="G6" s="29">
        <f>Table2[[#This Row],[Capital Receipts (₹Cr)]]-Table2[[#This Row],[Capital Expenditure (₹Cr)]]</f>
        <v>234543.83000000007</v>
      </c>
      <c r="H6" s="27">
        <f>(Table2[[#This Row],[Revenue Receipts (₹Cr)]]-B5)/B5</f>
        <v>0.12521427449090605</v>
      </c>
      <c r="I6" s="41" t="str">
        <f>IF(Table2[[#This Row],[Revenue Receipts (₹Cr)]]&gt;B5,"▲Growth","▼ Decline")</f>
        <v>▲Growth</v>
      </c>
    </row>
    <row r="7" spans="1:9" x14ac:dyDescent="0.3">
      <c r="A7" s="17" t="s">
        <v>10</v>
      </c>
      <c r="B7" s="34">
        <f>'Main Data'!C7</f>
        <v>1691143.1</v>
      </c>
      <c r="C7" s="32">
        <f>'Main Data'!C20</f>
        <v>2140084.5299999998</v>
      </c>
      <c r="D7" s="33">
        <f>(Table2[[#This Row],[Revenue Expenditure (₹Cr)]]-Table2[[#This Row],[Revenue Receipts (₹Cr)]])*-1</f>
        <v>-448941.4299999997</v>
      </c>
      <c r="E7" s="31">
        <f>'Main Data'!C33</f>
        <v>6724689.1799999997</v>
      </c>
      <c r="F7" s="30">
        <f>'Main Data'!C46</f>
        <v>6279856.7999999998</v>
      </c>
      <c r="G7" s="29">
        <f>Table2[[#This Row],[Capital Receipts (₹Cr)]]-Table2[[#This Row],[Capital Expenditure (₹Cr)]]</f>
        <v>444832.37999999989</v>
      </c>
      <c r="H7" s="27">
        <f>(Table2[[#This Row],[Revenue Receipts (₹Cr)]]-B6)/B6</f>
        <v>4.6507227114399773E-2</v>
      </c>
      <c r="I7" s="41" t="str">
        <f>IF(Table2[[#This Row],[Revenue Receipts (₹Cr)]]&gt;B6,"▲Growth","▼ Decline")</f>
        <v>▲Growth</v>
      </c>
    </row>
    <row r="8" spans="1:9" x14ac:dyDescent="0.3">
      <c r="A8" s="17" t="s">
        <v>11</v>
      </c>
      <c r="B8" s="34">
        <f>'Main Data'!C8</f>
        <v>1806462.91</v>
      </c>
      <c r="C8" s="32">
        <f>'Main Data'!C21</f>
        <v>2261570.81</v>
      </c>
      <c r="D8" s="33">
        <f>(Table2[[#This Row],[Revenue Expenditure (₹Cr)]]-Table2[[#This Row],[Revenue Receipts (₹Cr)]])*-1</f>
        <v>-455107.90000000014</v>
      </c>
      <c r="E8" s="31">
        <f>'Main Data'!C34</f>
        <v>6883718.3899999997</v>
      </c>
      <c r="F8" s="30">
        <f>'Main Data'!C47</f>
        <v>6519135.5800000001</v>
      </c>
      <c r="G8" s="29">
        <f>Table2[[#This Row],[Capital Receipts (₹Cr)]]-Table2[[#This Row],[Capital Expenditure (₹Cr)]]</f>
        <v>364582.80999999959</v>
      </c>
      <c r="H8" s="27">
        <f>(Table2[[#This Row],[Revenue Receipts (₹Cr)]]-B7)/B7</f>
        <v>6.8190450589308393E-2</v>
      </c>
      <c r="I8" s="41" t="str">
        <f>IF(Table2[[#This Row],[Revenue Receipts (₹Cr)]]&gt;B7,"▲Growth","▼ Decline")</f>
        <v>▲Growth</v>
      </c>
    </row>
    <row r="9" spans="1:9" x14ac:dyDescent="0.3">
      <c r="A9" s="17" t="s">
        <v>12</v>
      </c>
      <c r="B9" s="34">
        <f>'Main Data'!C9</f>
        <v>1948083.53</v>
      </c>
      <c r="C9" s="32">
        <f>'Main Data'!C22</f>
        <v>2615319.67</v>
      </c>
      <c r="D9" s="33">
        <f>(Table2[[#This Row],[Revenue Expenditure (₹Cr)]]-Table2[[#This Row],[Revenue Receipts (₹Cr)]])*-1</f>
        <v>-667236.1399999999</v>
      </c>
      <c r="E9" s="31">
        <f>'Main Data'!C35</f>
        <v>7370383.4699999997</v>
      </c>
      <c r="F9" s="30">
        <f>'Main Data'!C48</f>
        <v>6759434.6500000004</v>
      </c>
      <c r="G9" s="29">
        <f>Table2[[#This Row],[Capital Receipts (₹Cr)]]-Table2[[#This Row],[Capital Expenditure (₹Cr)]]</f>
        <v>610948.81999999937</v>
      </c>
      <c r="H9" s="27">
        <f>(Table2[[#This Row],[Revenue Receipts (₹Cr)]]-B8)/B8</f>
        <v>7.8396638655592502E-2</v>
      </c>
      <c r="I9" s="41" t="str">
        <f>IF(Table2[[#This Row],[Revenue Receipts (₹Cr)]]&gt;B8,"▲Growth","▼ Decline")</f>
        <v>▲Growth</v>
      </c>
    </row>
    <row r="10" spans="1:9" x14ac:dyDescent="0.3">
      <c r="A10" s="17" t="s">
        <v>13</v>
      </c>
      <c r="B10" s="34">
        <f>'Main Data'!C10</f>
        <v>1864513.47</v>
      </c>
      <c r="C10" s="32">
        <f>'Main Data'!C23</f>
        <v>3314851.92</v>
      </c>
      <c r="D10" s="33">
        <f>(Table2[[#This Row],[Revenue Expenditure (₹Cr)]]-Table2[[#This Row],[Revenue Receipts (₹Cr)]])*-1</f>
        <v>-1450338.45</v>
      </c>
      <c r="E10" s="31">
        <f>'Main Data'!C36</f>
        <v>8230730.0800000001</v>
      </c>
      <c r="F10" s="30">
        <f>'Main Data'!C49</f>
        <v>6777429.6600000001</v>
      </c>
      <c r="G10" s="29">
        <f>Table2[[#This Row],[Capital Receipts (₹Cr)]]-Table2[[#This Row],[Capital Expenditure (₹Cr)]]</f>
        <v>1453300.42</v>
      </c>
      <c r="H10" s="27">
        <f>(Table2[[#This Row],[Revenue Receipts (₹Cr)]]-B9)/B9</f>
        <v>-4.2898601991671302E-2</v>
      </c>
      <c r="I10" s="42" t="str">
        <f>IF(Table2[[#This Row],[Revenue Receipts (₹Cr)]]&gt;B9,"▲Growth","▼ Decline")</f>
        <v>▼ Decline</v>
      </c>
    </row>
    <row r="11" spans="1:9" x14ac:dyDescent="0.3">
      <c r="A11" s="17" t="s">
        <v>14</v>
      </c>
      <c r="B11" s="34">
        <f>'Main Data'!C11</f>
        <v>2436421.48</v>
      </c>
      <c r="C11" s="32">
        <f>'Main Data'!C24</f>
        <v>3468188.81</v>
      </c>
      <c r="D11" s="33">
        <f>(Table2[[#This Row],[Revenue Expenditure (₹Cr)]]-Table2[[#This Row],[Revenue Receipts (₹Cr)]])*-1</f>
        <v>-1031767.3300000001</v>
      </c>
      <c r="E11" s="31">
        <f>'Main Data'!C37</f>
        <v>8288737.9699999997</v>
      </c>
      <c r="F11" s="30">
        <f>'Main Data'!C50</f>
        <v>7445313.0499999998</v>
      </c>
      <c r="G11" s="29">
        <f>Table2[[#This Row],[Capital Receipts (₹Cr)]]-Table2[[#This Row],[Capital Expenditure (₹Cr)]]</f>
        <v>843424.91999999993</v>
      </c>
      <c r="H11" s="27">
        <f>(Table2[[#This Row],[Revenue Receipts (₹Cr)]]-B10)/B10</f>
        <v>0.30673310716280316</v>
      </c>
      <c r="I11" s="41" t="str">
        <f>IF(Table2[[#This Row],[Revenue Receipts (₹Cr)]]&gt;B10,"▲Growth","▼ Decline")</f>
        <v>▲Growth</v>
      </c>
    </row>
    <row r="12" spans="1:9" x14ac:dyDescent="0.3">
      <c r="A12" s="17" t="s">
        <v>15</v>
      </c>
      <c r="B12" s="34">
        <f>'Main Data'!C12</f>
        <v>2713267.2</v>
      </c>
      <c r="C12" s="32">
        <f>'Main Data'!C25</f>
        <v>3783698.51</v>
      </c>
      <c r="D12" s="33">
        <f>(Table2[[#This Row],[Revenue Expenditure (₹Cr)]]-Table2[[#This Row],[Revenue Receipts (₹Cr)]])*-1</f>
        <v>-1070431.3099999996</v>
      </c>
      <c r="E12" s="31">
        <f>'Main Data'!C38</f>
        <v>8947200.1400000006</v>
      </c>
      <c r="F12" s="30">
        <f>'Main Data'!C51</f>
        <v>7966516.6100000003</v>
      </c>
      <c r="G12" s="29">
        <f>Table2[[#This Row],[Capital Receipts (₹Cr)]]-Table2[[#This Row],[Capital Expenditure (₹Cr)]]</f>
        <v>980683.53000000026</v>
      </c>
      <c r="H12" s="27">
        <f>(Table2[[#This Row],[Revenue Receipts (₹Cr)]]-B11)/B11</f>
        <v>0.11362800823772093</v>
      </c>
      <c r="I12" s="41" t="str">
        <f>IF(Table2[[#This Row],[Revenue Receipts (₹Cr)]]&gt;B11,"▲Growth","▼ Decline")</f>
        <v>▲Growth</v>
      </c>
    </row>
    <row r="13" spans="1:9" x14ac:dyDescent="0.3">
      <c r="A13" s="17" t="s">
        <v>16</v>
      </c>
      <c r="B13" s="34">
        <f>'Main Data'!C13</f>
        <v>3088174.64</v>
      </c>
      <c r="C13" s="32">
        <f>'Main Data'!C26</f>
        <v>3854082.21</v>
      </c>
      <c r="D13" s="33">
        <f>(Table2[[#This Row],[Revenue Expenditure (₹Cr)]]-Table2[[#This Row],[Revenue Receipts (₹Cr)]])*-1</f>
        <v>-765907.56999999983</v>
      </c>
      <c r="E13" s="31">
        <f>'Main Data'!C39</f>
        <v>9322304.1799999997</v>
      </c>
      <c r="F13" s="30">
        <f>'Main Data'!C52</f>
        <v>8460982.8800000008</v>
      </c>
      <c r="G13" s="29">
        <f>Table2[[#This Row],[Capital Receipts (₹Cr)]]-Table2[[#This Row],[Capital Expenditure (₹Cr)]]</f>
        <v>861321.29999999888</v>
      </c>
      <c r="H13" s="27">
        <f>(Table2[[#This Row],[Revenue Receipts (₹Cr)]]-B12)/B12</f>
        <v>0.13817564300338717</v>
      </c>
      <c r="I13" s="41" t="str">
        <f>IF(Table2[[#This Row],[Revenue Receipts (₹Cr)]]&gt;B12,"▲Growth","▼ Decline")</f>
        <v>▲Growth</v>
      </c>
    </row>
    <row r="14" spans="1:9" x14ac:dyDescent="0.3">
      <c r="A14" s="17" t="s">
        <v>17</v>
      </c>
      <c r="B14" s="34">
        <f>'Main Data'!C14</f>
        <v>3485869.29</v>
      </c>
      <c r="C14" s="32">
        <f>'Main Data'!C27</f>
        <v>4096607.07</v>
      </c>
      <c r="D14" s="33">
        <f>(Table2[[#This Row],[Revenue Expenditure (₹Cr)]]-Table2[[#This Row],[Revenue Receipts (₹Cr)]])*-1</f>
        <v>-610737.7799999998</v>
      </c>
      <c r="E14" s="31">
        <f>'Main Data'!C40</f>
        <v>9929531.8800000008</v>
      </c>
      <c r="F14" s="30">
        <f>'Main Data'!C53</f>
        <v>9500416.2799999993</v>
      </c>
      <c r="G14" s="29">
        <f>Table2[[#This Row],[Capital Receipts (₹Cr)]]-Table2[[#This Row],[Capital Expenditure (₹Cr)]]</f>
        <v>429115.60000000149</v>
      </c>
      <c r="H14" s="27">
        <f>(Table2[[#This Row],[Revenue Receipts (₹Cr)]]-B13)/B13</f>
        <v>0.12877984452330063</v>
      </c>
      <c r="I14" s="41" t="str">
        <f>IF(Table2[[#This Row],[Revenue Receipts (₹Cr)]]&gt;B13,"▲Growth","▼ Decline")</f>
        <v>▲Growth</v>
      </c>
    </row>
    <row r="15" spans="1:9" x14ac:dyDescent="0.3">
      <c r="A15" s="17" t="s">
        <v>18</v>
      </c>
      <c r="B15" s="34">
        <f>'Main Data'!C15</f>
        <v>3835268.52</v>
      </c>
      <c r="C15" s="32">
        <f>'Main Data'!C28</f>
        <v>4359702.41</v>
      </c>
      <c r="D15" s="33">
        <f>(Table2[[#This Row],[Revenue Expenditure (₹Cr)]]-Table2[[#This Row],[Revenue Receipts (₹Cr)]])*-1</f>
        <v>-524433.89000000013</v>
      </c>
      <c r="E15" s="31">
        <f>'Main Data'!C41</f>
        <v>10760098.77</v>
      </c>
      <c r="F15" s="30">
        <f>'Main Data'!C54</f>
        <v>10293122.49</v>
      </c>
      <c r="G15" s="29">
        <f>Table2[[#This Row],[Capital Receipts (₹Cr)]]-Table2[[#This Row],[Capital Expenditure (₹Cr)]]</f>
        <v>466976.27999999933</v>
      </c>
      <c r="H15" s="27">
        <f>(Table2[[#This Row],[Revenue Receipts (₹Cr)]]-B14)/B14</f>
        <v>0.10023302680979182</v>
      </c>
      <c r="I15" s="41" t="str">
        <f>IF(Table2[[#This Row],[Revenue Receipts (₹Cr)]]&gt;B14,"▲Growth","▼ Decline")</f>
        <v>▲Growth</v>
      </c>
    </row>
    <row r="16" spans="1:9" x14ac:dyDescent="0.3">
      <c r="A16" s="35" t="s">
        <v>35</v>
      </c>
      <c r="B16" s="36">
        <f>SUM(B3:B15)</f>
        <v>28468060.09</v>
      </c>
      <c r="C16" s="36">
        <f t="shared" ref="C16:G16" si="0">SUM(C3:C15)</f>
        <v>36876886.170000002</v>
      </c>
      <c r="D16" s="36">
        <f t="shared" si="0"/>
        <v>-8408826.0800000001</v>
      </c>
      <c r="E16" s="36">
        <f t="shared" si="0"/>
        <v>95412561.469999984</v>
      </c>
      <c r="F16" s="36">
        <f t="shared" si="0"/>
        <v>87687151.609999985</v>
      </c>
      <c r="G16" s="36">
        <f t="shared" si="0"/>
        <v>7725409.8599999985</v>
      </c>
      <c r="H16" s="37" t="str">
        <f>"-"</f>
        <v>-</v>
      </c>
      <c r="I16" s="38" t="str">
        <f>"13 years "</f>
        <v xml:space="preserve">13 years </v>
      </c>
    </row>
    <row r="17" spans="1:1" x14ac:dyDescent="0.3">
      <c r="A17" s="18"/>
    </row>
    <row r="18" spans="1:1" x14ac:dyDescent="0.3">
      <c r="A18" s="18"/>
    </row>
    <row r="19" spans="1:1" x14ac:dyDescent="0.3">
      <c r="A19" s="18"/>
    </row>
  </sheetData>
  <mergeCells count="1">
    <mergeCell ref="B1:I1"/>
  </mergeCells>
  <conditionalFormatting sqref="I4:I15">
    <cfRule type="iconSet" priority="4">
      <iconSet iconSet="3Arrows">
        <cfvo type="percent" val="0"/>
        <cfvo type="percent" val="33"/>
        <cfvo type="percent" val="67"/>
      </iconSet>
    </cfRule>
  </conditionalFormatting>
  <conditionalFormatting sqref="H3:H16">
    <cfRule type="colorScale" priority="3">
      <colorScale>
        <cfvo type="min"/>
        <cfvo type="percentile" val="50"/>
        <cfvo type="max"/>
        <color rgb="FFF8696B"/>
        <color rgb="FFFFEB84"/>
        <color rgb="FF63BE7B"/>
      </colorScale>
    </cfRule>
  </conditionalFormatting>
  <conditionalFormatting sqref="D3:D15">
    <cfRule type="dataBar" priority="2">
      <dataBar>
        <cfvo type="min"/>
        <cfvo type="max"/>
        <color rgb="FFFF555A"/>
      </dataBar>
      <extLst>
        <ext xmlns:x14="http://schemas.microsoft.com/office/spreadsheetml/2009/9/main" uri="{B025F937-C7B1-47D3-B67F-A62EFF666E3E}">
          <x14:id>{8D7B81D7-A6A7-461F-92D0-F8B38DA2C7FF}</x14:id>
        </ext>
      </extLst>
    </cfRule>
  </conditionalFormatting>
  <conditionalFormatting sqref="G3:G15">
    <cfRule type="dataBar" priority="1">
      <dataBar>
        <cfvo type="min"/>
        <cfvo type="max"/>
        <color rgb="FF63C384"/>
      </dataBar>
      <extLst>
        <ext xmlns:x14="http://schemas.microsoft.com/office/spreadsheetml/2009/9/main" uri="{B025F937-C7B1-47D3-B67F-A62EFF666E3E}">
          <x14:id>{0FD01A34-604D-4D82-A591-E160B7960B28}</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D7B81D7-A6A7-461F-92D0-F8B38DA2C7FF}">
            <x14:dataBar minLength="0" maxLength="100" border="1" negativeBarBorderColorSameAsPositive="0">
              <x14:cfvo type="autoMin"/>
              <x14:cfvo type="autoMax"/>
              <x14:borderColor rgb="FFFF555A"/>
              <x14:negativeFillColor rgb="FFFF0000"/>
              <x14:negativeBorderColor rgb="FFFF0000"/>
              <x14:axisColor rgb="FF000000"/>
            </x14:dataBar>
          </x14:cfRule>
          <xm:sqref>D3:D15</xm:sqref>
        </x14:conditionalFormatting>
        <x14:conditionalFormatting xmlns:xm="http://schemas.microsoft.com/office/excel/2006/main">
          <x14:cfRule type="dataBar" id="{0FD01A34-604D-4D82-A591-E160B7960B28}">
            <x14:dataBar minLength="0" maxLength="100" border="1" negativeBarBorderColorSameAsPositive="0">
              <x14:cfvo type="autoMin"/>
              <x14:cfvo type="autoMax"/>
              <x14:borderColor rgb="FF63C384"/>
              <x14:negativeFillColor rgb="FFFF0000"/>
              <x14:negativeBorderColor rgb="FFFF0000"/>
              <x14:axisColor rgb="FF000000"/>
            </x14:dataBar>
          </x14:cfRule>
          <xm:sqref>G3:G15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73C58-2E11-45E8-8D06-527E73F093F4}">
  <sheetPr>
    <tabColor rgb="FF7030A0"/>
  </sheetPr>
  <dimension ref="A1:AY16"/>
  <sheetViews>
    <sheetView zoomScale="32" zoomScaleNormal="86" workbookViewId="0"/>
  </sheetViews>
  <sheetFormatPr defaultRowHeight="14.4" x14ac:dyDescent="0.3"/>
  <cols>
    <col min="1" max="1" width="16.21875" bestFit="1" customWidth="1"/>
    <col min="2" max="2" width="34.88671875" bestFit="1" customWidth="1"/>
    <col min="3" max="3" width="38.77734375" bestFit="1" customWidth="1"/>
    <col min="4" max="4" width="37.33203125" bestFit="1" customWidth="1"/>
    <col min="5" max="5" width="33.21875" bestFit="1" customWidth="1"/>
    <col min="6" max="12" width="13.6640625" bestFit="1" customWidth="1"/>
    <col min="13" max="14" width="15.33203125" bestFit="1" customWidth="1"/>
    <col min="15" max="15" width="16.33203125" customWidth="1"/>
    <col min="16" max="16" width="12" bestFit="1" customWidth="1"/>
    <col min="19" max="19" width="52.109375" customWidth="1"/>
    <col min="50" max="50" width="36.21875" customWidth="1"/>
    <col min="51" max="51" width="22.88671875" customWidth="1"/>
  </cols>
  <sheetData>
    <row r="1" spans="1:51" ht="21" x14ac:dyDescent="0.4">
      <c r="A1" s="141" t="s">
        <v>465</v>
      </c>
    </row>
    <row r="2" spans="1:51" x14ac:dyDescent="0.3">
      <c r="A2" s="142" t="s">
        <v>488</v>
      </c>
      <c r="B2" t="s">
        <v>473</v>
      </c>
      <c r="C2" t="s">
        <v>472</v>
      </c>
      <c r="D2" t="s">
        <v>471</v>
      </c>
      <c r="E2" t="s">
        <v>470</v>
      </c>
    </row>
    <row r="3" spans="1:51" x14ac:dyDescent="0.3">
      <c r="A3" s="143" t="s">
        <v>5</v>
      </c>
      <c r="B3" s="144">
        <v>1217798.79</v>
      </c>
      <c r="C3" s="144">
        <v>1575096.57</v>
      </c>
      <c r="D3" s="144">
        <v>3711135.71</v>
      </c>
      <c r="E3" s="144">
        <v>4048883.11</v>
      </c>
    </row>
    <row r="4" spans="1:51" x14ac:dyDescent="0.3">
      <c r="A4" s="143" t="s">
        <v>7</v>
      </c>
      <c r="B4" s="144">
        <v>1328908.96</v>
      </c>
      <c r="C4" s="144">
        <v>1695136.79</v>
      </c>
      <c r="D4" s="144">
        <v>3921706.24</v>
      </c>
      <c r="E4" s="144">
        <v>4282482.8499999996</v>
      </c>
    </row>
    <row r="5" spans="1:51" x14ac:dyDescent="0.3">
      <c r="A5" s="143" t="s">
        <v>8</v>
      </c>
      <c r="B5" s="144">
        <v>1436160.22</v>
      </c>
      <c r="C5" s="144">
        <v>1779528.81</v>
      </c>
      <c r="D5" s="144">
        <v>4063795.25</v>
      </c>
      <c r="E5" s="144">
        <v>4400951.21</v>
      </c>
    </row>
    <row r="6" spans="1:51" x14ac:dyDescent="0.3">
      <c r="A6" s="143" t="s">
        <v>9</v>
      </c>
      <c r="B6" s="144">
        <v>1615987.98</v>
      </c>
      <c r="C6" s="144">
        <v>1933018.06</v>
      </c>
      <c r="D6" s="144">
        <v>5988306.4100000001</v>
      </c>
      <c r="E6" s="144">
        <v>6222850.2400000002</v>
      </c>
      <c r="AX6" s="145" t="s">
        <v>473</v>
      </c>
      <c r="AY6" s="156">
        <f>VLOOKUP(Dashboard!$B$8,'Analytics and main data'!$A:$H,2,0)</f>
        <v>1948083.53</v>
      </c>
    </row>
    <row r="7" spans="1:51" ht="31.2" x14ac:dyDescent="0.6">
      <c r="A7" s="143" t="s">
        <v>10</v>
      </c>
      <c r="B7" s="144">
        <v>1691143.1</v>
      </c>
      <c r="C7" s="144">
        <v>2140084.5299999998</v>
      </c>
      <c r="D7" s="144">
        <v>6279856.7999999998</v>
      </c>
      <c r="E7" s="144">
        <v>6724689.1799999997</v>
      </c>
      <c r="N7" s="146"/>
      <c r="AX7" s="145" t="s">
        <v>472</v>
      </c>
      <c r="AY7" s="156">
        <f>VLOOKUP(Dashboard!$B$8,'Analytics and main data'!$A:$H,3,0)</f>
        <v>2615319.67</v>
      </c>
    </row>
    <row r="8" spans="1:51" x14ac:dyDescent="0.3">
      <c r="A8" s="143" t="s">
        <v>11</v>
      </c>
      <c r="B8" s="144">
        <v>1806462.91</v>
      </c>
      <c r="C8" s="144">
        <v>2261570.81</v>
      </c>
      <c r="D8" s="144">
        <v>6519135.5800000001</v>
      </c>
      <c r="E8" s="144">
        <v>6883718.3899999997</v>
      </c>
      <c r="AX8" s="145" t="s">
        <v>470</v>
      </c>
      <c r="AY8" s="156">
        <f>VLOOKUP(Dashboard!$B$8,'Analytics and main data'!$A:$H,5,0)</f>
        <v>7370383.4699999997</v>
      </c>
    </row>
    <row r="9" spans="1:51" x14ac:dyDescent="0.3">
      <c r="A9" s="143" t="s">
        <v>12</v>
      </c>
      <c r="B9" s="144">
        <v>1948083.53</v>
      </c>
      <c r="C9" s="144">
        <v>2615319.67</v>
      </c>
      <c r="D9" s="144">
        <v>6759434.6500000004</v>
      </c>
      <c r="E9" s="144">
        <v>7370383.4699999997</v>
      </c>
      <c r="AX9" s="145" t="s">
        <v>471</v>
      </c>
      <c r="AY9">
        <f>VLOOKUP(Dashboard!$B$8,'Analytics and main data'!$A:$H,6,0)</f>
        <v>6759434.6500000004</v>
      </c>
    </row>
    <row r="10" spans="1:51" x14ac:dyDescent="0.3">
      <c r="A10" s="143" t="s">
        <v>13</v>
      </c>
      <c r="B10" s="144">
        <v>1864513.47</v>
      </c>
      <c r="C10" s="144">
        <v>3314851.92</v>
      </c>
      <c r="D10" s="144">
        <v>6777429.6600000001</v>
      </c>
      <c r="E10" s="144">
        <v>8230730.0800000001</v>
      </c>
    </row>
    <row r="11" spans="1:51" x14ac:dyDescent="0.3">
      <c r="A11" s="143" t="s">
        <v>14</v>
      </c>
      <c r="B11" s="144">
        <v>2436421.48</v>
      </c>
      <c r="C11" s="144">
        <v>3468188.81</v>
      </c>
      <c r="D11" s="144">
        <v>7445313.0499999998</v>
      </c>
      <c r="E11" s="144">
        <v>8288737.9699999997</v>
      </c>
    </row>
    <row r="12" spans="1:51" x14ac:dyDescent="0.3">
      <c r="A12" s="143" t="s">
        <v>15</v>
      </c>
      <c r="B12" s="144">
        <v>2713267.2</v>
      </c>
      <c r="C12" s="144">
        <v>3783698.51</v>
      </c>
      <c r="D12" s="144">
        <v>7966516.6100000003</v>
      </c>
      <c r="E12" s="144">
        <v>8947200.1400000006</v>
      </c>
    </row>
    <row r="13" spans="1:51" x14ac:dyDescent="0.3">
      <c r="A13" s="143" t="s">
        <v>16</v>
      </c>
      <c r="B13" s="144">
        <v>3088174.64</v>
      </c>
      <c r="C13" s="144">
        <v>3854082.21</v>
      </c>
      <c r="D13" s="144">
        <v>8460982.8800000008</v>
      </c>
      <c r="E13" s="144">
        <v>9322304.1799999997</v>
      </c>
    </row>
    <row r="14" spans="1:51" x14ac:dyDescent="0.3">
      <c r="A14" s="143" t="s">
        <v>18</v>
      </c>
      <c r="B14" s="144">
        <v>3835268.52</v>
      </c>
      <c r="C14" s="144">
        <v>4359702.41</v>
      </c>
      <c r="D14" s="144">
        <v>10293122.49</v>
      </c>
      <c r="E14" s="144">
        <v>10760098.77</v>
      </c>
    </row>
    <row r="15" spans="1:51" x14ac:dyDescent="0.3">
      <c r="A15" s="143" t="s">
        <v>17</v>
      </c>
      <c r="B15" s="144">
        <v>3485869.29</v>
      </c>
      <c r="C15" s="144">
        <v>4096607.07</v>
      </c>
      <c r="D15" s="144">
        <v>9500416.2799999993</v>
      </c>
      <c r="E15" s="144">
        <v>9929531.8800000008</v>
      </c>
    </row>
    <row r="16" spans="1:51" x14ac:dyDescent="0.3">
      <c r="A16" s="143" t="s">
        <v>467</v>
      </c>
      <c r="B16" s="144">
        <v>28468060.09</v>
      </c>
      <c r="C16" s="144">
        <v>36876886.169999994</v>
      </c>
      <c r="D16" s="144">
        <v>87687151.609999985</v>
      </c>
      <c r="E16" s="144">
        <v>95412561.469999984</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1B670-9E10-4E68-8514-375E1B165238}">
  <sheetPr>
    <tabColor rgb="FF00B0F0"/>
  </sheetPr>
  <dimension ref="A1:I17"/>
  <sheetViews>
    <sheetView zoomScale="46" workbookViewId="0"/>
  </sheetViews>
  <sheetFormatPr defaultRowHeight="14.4" x14ac:dyDescent="0.3"/>
  <cols>
    <col min="1" max="1" width="13.88671875" bestFit="1" customWidth="1"/>
    <col min="2" max="2" width="26" bestFit="1" customWidth="1"/>
    <col min="3" max="3" width="24.88671875" bestFit="1" customWidth="1"/>
    <col min="4" max="7" width="7.6640625" bestFit="1" customWidth="1"/>
    <col min="8" max="8" width="10.6640625" bestFit="1" customWidth="1"/>
    <col min="9" max="9" width="10" bestFit="1" customWidth="1"/>
    <col min="10" max="12" width="7.6640625" bestFit="1" customWidth="1"/>
    <col min="13" max="14" width="10.21875" bestFit="1" customWidth="1"/>
    <col min="15" max="15" width="10.77734375" bestFit="1" customWidth="1"/>
  </cols>
  <sheetData>
    <row r="1" spans="1:9" x14ac:dyDescent="0.3">
      <c r="A1" s="142" t="s">
        <v>466</v>
      </c>
      <c r="B1" t="s">
        <v>505</v>
      </c>
      <c r="C1" t="s">
        <v>506</v>
      </c>
    </row>
    <row r="2" spans="1:9" x14ac:dyDescent="0.3">
      <c r="A2" s="143" t="s">
        <v>5</v>
      </c>
      <c r="B2" s="144">
        <v>-357297.78</v>
      </c>
      <c r="C2" s="144">
        <v>337747.39999999991</v>
      </c>
    </row>
    <row r="3" spans="1:9" x14ac:dyDescent="0.3">
      <c r="A3" s="143" t="s">
        <v>7</v>
      </c>
      <c r="B3" s="144">
        <v>-366227.83000000007</v>
      </c>
      <c r="C3" s="144">
        <v>360776.6099999994</v>
      </c>
    </row>
    <row r="4" spans="1:9" x14ac:dyDescent="0.3">
      <c r="A4" s="143" t="s">
        <v>8</v>
      </c>
      <c r="B4" s="144">
        <v>-343368.59000000008</v>
      </c>
      <c r="C4" s="144">
        <v>337155.95999999996</v>
      </c>
      <c r="G4" s="145" t="s">
        <v>466</v>
      </c>
      <c r="H4" s="145" t="s">
        <v>469</v>
      </c>
      <c r="I4" s="145" t="s">
        <v>474</v>
      </c>
    </row>
    <row r="5" spans="1:9" x14ac:dyDescent="0.3">
      <c r="A5" s="143" t="s">
        <v>9</v>
      </c>
      <c r="B5" s="144">
        <v>-317030.08000000007</v>
      </c>
      <c r="C5" s="144">
        <v>234543.83000000007</v>
      </c>
      <c r="G5" s="143" t="s">
        <v>5</v>
      </c>
      <c r="H5" s="144">
        <v>-357297.78</v>
      </c>
      <c r="I5" s="144">
        <v>337747.39999999991</v>
      </c>
    </row>
    <row r="6" spans="1:9" x14ac:dyDescent="0.3">
      <c r="A6" s="143" t="s">
        <v>10</v>
      </c>
      <c r="B6" s="144">
        <v>-448941.4299999997</v>
      </c>
      <c r="C6" s="144">
        <v>444832.37999999989</v>
      </c>
      <c r="G6" s="143" t="s">
        <v>7</v>
      </c>
      <c r="H6" s="144">
        <v>-366227.83000000007</v>
      </c>
      <c r="I6" s="144">
        <v>360776.6099999994</v>
      </c>
    </row>
    <row r="7" spans="1:9" x14ac:dyDescent="0.3">
      <c r="A7" s="143" t="s">
        <v>11</v>
      </c>
      <c r="B7" s="144">
        <v>-455107.90000000014</v>
      </c>
      <c r="C7" s="144">
        <v>364582.80999999959</v>
      </c>
      <c r="G7" s="143" t="s">
        <v>8</v>
      </c>
      <c r="H7" s="144">
        <v>-343368.59000000008</v>
      </c>
      <c r="I7" s="144">
        <v>337155.95999999996</v>
      </c>
    </row>
    <row r="8" spans="1:9" x14ac:dyDescent="0.3">
      <c r="A8" s="143" t="s">
        <v>12</v>
      </c>
      <c r="B8" s="144">
        <v>-667236.1399999999</v>
      </c>
      <c r="C8" s="144">
        <v>610948.81999999937</v>
      </c>
      <c r="G8" s="143" t="s">
        <v>9</v>
      </c>
      <c r="H8" s="144">
        <v>-317030.08000000007</v>
      </c>
      <c r="I8" s="144">
        <v>234543.83000000007</v>
      </c>
    </row>
    <row r="9" spans="1:9" x14ac:dyDescent="0.3">
      <c r="A9" s="143" t="s">
        <v>13</v>
      </c>
      <c r="B9" s="144">
        <v>-1450338.45</v>
      </c>
      <c r="C9" s="144">
        <v>1453300.42</v>
      </c>
      <c r="G9" s="143" t="s">
        <v>10</v>
      </c>
      <c r="H9" s="144">
        <v>-448941.4299999997</v>
      </c>
      <c r="I9" s="144">
        <v>444832.37999999989</v>
      </c>
    </row>
    <row r="10" spans="1:9" x14ac:dyDescent="0.3">
      <c r="A10" s="143" t="s">
        <v>14</v>
      </c>
      <c r="B10" s="144">
        <v>-1031767.3300000001</v>
      </c>
      <c r="C10" s="144">
        <v>843424.91999999993</v>
      </c>
      <c r="G10" s="143" t="s">
        <v>11</v>
      </c>
      <c r="H10" s="144">
        <v>-455107.90000000014</v>
      </c>
      <c r="I10" s="144">
        <v>364582.80999999959</v>
      </c>
    </row>
    <row r="11" spans="1:9" x14ac:dyDescent="0.3">
      <c r="A11" s="143" t="s">
        <v>15</v>
      </c>
      <c r="B11" s="144">
        <v>-1070431.3099999996</v>
      </c>
      <c r="C11" s="144">
        <v>980683.53000000026</v>
      </c>
      <c r="G11" s="143" t="s">
        <v>12</v>
      </c>
      <c r="H11" s="144">
        <v>-667236.1399999999</v>
      </c>
      <c r="I11" s="144">
        <v>610948.81999999937</v>
      </c>
    </row>
    <row r="12" spans="1:9" x14ac:dyDescent="0.3">
      <c r="A12" s="143" t="s">
        <v>16</v>
      </c>
      <c r="B12" s="144">
        <v>-765907.56999999983</v>
      </c>
      <c r="C12" s="144">
        <v>861321.29999999888</v>
      </c>
      <c r="G12" s="143" t="s">
        <v>13</v>
      </c>
      <c r="H12" s="144">
        <v>-1450338.45</v>
      </c>
      <c r="I12" s="144">
        <v>1453300.42</v>
      </c>
    </row>
    <row r="13" spans="1:9" x14ac:dyDescent="0.3">
      <c r="A13" s="143" t="s">
        <v>18</v>
      </c>
      <c r="B13" s="144">
        <v>-524433.89000000013</v>
      </c>
      <c r="C13" s="144">
        <v>466976.27999999933</v>
      </c>
      <c r="G13" s="143" t="s">
        <v>14</v>
      </c>
      <c r="H13" s="144">
        <v>-1031767.3300000001</v>
      </c>
      <c r="I13" s="144">
        <v>843424.91999999993</v>
      </c>
    </row>
    <row r="14" spans="1:9" x14ac:dyDescent="0.3">
      <c r="A14" s="143" t="s">
        <v>17</v>
      </c>
      <c r="B14" s="144">
        <v>-610737.7799999998</v>
      </c>
      <c r="C14" s="144">
        <v>429115.60000000149</v>
      </c>
      <c r="G14" s="143" t="s">
        <v>15</v>
      </c>
      <c r="H14" s="144">
        <v>-1070431.3099999996</v>
      </c>
      <c r="I14" s="144">
        <v>980683.53000000026</v>
      </c>
    </row>
    <row r="15" spans="1:9" x14ac:dyDescent="0.3">
      <c r="A15" s="143" t="s">
        <v>467</v>
      </c>
      <c r="B15" s="144">
        <v>-8408826.0800000001</v>
      </c>
      <c r="C15" s="144">
        <v>7725409.8599999985</v>
      </c>
      <c r="G15" s="143" t="s">
        <v>16</v>
      </c>
      <c r="H15" s="144">
        <v>-765907.56999999983</v>
      </c>
      <c r="I15" s="144">
        <v>861321.29999999888</v>
      </c>
    </row>
    <row r="16" spans="1:9" x14ac:dyDescent="0.3">
      <c r="G16" s="143" t="s">
        <v>18</v>
      </c>
      <c r="H16" s="144">
        <v>-524433.89000000013</v>
      </c>
      <c r="I16" s="144">
        <v>466976.27999999933</v>
      </c>
    </row>
    <row r="17" spans="7:9" x14ac:dyDescent="0.3">
      <c r="G17" s="143" t="s">
        <v>17</v>
      </c>
      <c r="H17" s="144">
        <v>-610737.7799999998</v>
      </c>
      <c r="I17" s="144">
        <v>429115.60000000149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D9451-384A-40E2-B825-05373F34BDF1}">
  <sheetPr>
    <tabColor theme="5"/>
  </sheetPr>
  <dimension ref="A1:K15"/>
  <sheetViews>
    <sheetView topLeftCell="K1" zoomScale="56" workbookViewId="0"/>
  </sheetViews>
  <sheetFormatPr defaultRowHeight="14.4" x14ac:dyDescent="0.3"/>
  <cols>
    <col min="1" max="1" width="14" bestFit="1" customWidth="1"/>
    <col min="2" max="2" width="21.88671875" bestFit="1" customWidth="1"/>
    <col min="3" max="3" width="19.33203125" bestFit="1" customWidth="1"/>
    <col min="4" max="4" width="12" bestFit="1" customWidth="1"/>
    <col min="5" max="5" width="29.33203125" bestFit="1" customWidth="1"/>
    <col min="6" max="6" width="12" bestFit="1" customWidth="1"/>
    <col min="7" max="7" width="32.88671875" bestFit="1" customWidth="1"/>
    <col min="8" max="8" width="31.88671875" bestFit="1" customWidth="1"/>
    <col min="9" max="9" width="14.5546875" bestFit="1" customWidth="1"/>
    <col min="10" max="10" width="23.77734375" bestFit="1" customWidth="1"/>
    <col min="11" max="11" width="14.5546875" bestFit="1" customWidth="1"/>
    <col min="12" max="117" width="35.33203125" bestFit="1" customWidth="1"/>
    <col min="118" max="119" width="18.33203125" bestFit="1" customWidth="1"/>
    <col min="120" max="120" width="19.109375" bestFit="1" customWidth="1"/>
    <col min="121" max="122" width="18.33203125" bestFit="1" customWidth="1"/>
    <col min="123" max="123" width="19.109375" bestFit="1" customWidth="1"/>
    <col min="124" max="126" width="18.77734375" bestFit="1" customWidth="1"/>
    <col min="127" max="128" width="19.109375" bestFit="1" customWidth="1"/>
    <col min="129" max="130" width="24.21875" bestFit="1" customWidth="1"/>
  </cols>
  <sheetData>
    <row r="1" spans="1:11" x14ac:dyDescent="0.3">
      <c r="B1" s="142" t="s">
        <v>468</v>
      </c>
    </row>
    <row r="2" spans="1:11" x14ac:dyDescent="0.3">
      <c r="A2" s="142" t="s">
        <v>1</v>
      </c>
      <c r="B2" t="s">
        <v>393</v>
      </c>
      <c r="C2" t="s">
        <v>331</v>
      </c>
      <c r="D2" t="s">
        <v>246</v>
      </c>
      <c r="E2" t="s">
        <v>395</v>
      </c>
      <c r="F2" t="s">
        <v>394</v>
      </c>
      <c r="G2" t="s">
        <v>398</v>
      </c>
      <c r="H2" t="s">
        <v>342</v>
      </c>
      <c r="I2" t="s">
        <v>346</v>
      </c>
      <c r="J2" t="s">
        <v>247</v>
      </c>
      <c r="K2" t="s">
        <v>467</v>
      </c>
    </row>
    <row r="3" spans="1:11" x14ac:dyDescent="0.3">
      <c r="A3" s="143" t="s">
        <v>475</v>
      </c>
      <c r="B3" s="144">
        <v>0</v>
      </c>
      <c r="C3" s="144">
        <v>394677.85</v>
      </c>
      <c r="D3" s="144">
        <v>172085.42</v>
      </c>
      <c r="E3" s="144">
        <v>0</v>
      </c>
      <c r="F3" s="144">
        <v>0</v>
      </c>
      <c r="G3" s="144">
        <v>237817.23</v>
      </c>
      <c r="H3" s="144">
        <v>5017.5</v>
      </c>
      <c r="I3" s="144">
        <v>154778.12</v>
      </c>
      <c r="J3" s="144">
        <v>169455.14</v>
      </c>
      <c r="K3" s="144">
        <v>1133831.26</v>
      </c>
    </row>
    <row r="4" spans="1:11" x14ac:dyDescent="0.3">
      <c r="A4" s="143" t="s">
        <v>476</v>
      </c>
      <c r="B4" s="144">
        <v>0</v>
      </c>
      <c r="C4" s="144">
        <v>428924.74</v>
      </c>
      <c r="D4" s="144">
        <v>188016.19</v>
      </c>
      <c r="E4" s="144">
        <v>0</v>
      </c>
      <c r="F4" s="144">
        <v>0</v>
      </c>
      <c r="G4" s="144">
        <v>258325.65</v>
      </c>
      <c r="H4" s="144">
        <v>7398.15</v>
      </c>
      <c r="I4" s="144">
        <v>167969.04</v>
      </c>
      <c r="J4" s="144">
        <v>188127.6</v>
      </c>
      <c r="K4" s="144">
        <v>1238761.3700000001</v>
      </c>
    </row>
    <row r="5" spans="1:11" x14ac:dyDescent="0.3">
      <c r="A5" s="143" t="s">
        <v>477</v>
      </c>
      <c r="B5" s="144">
        <v>0</v>
      </c>
      <c r="C5" s="144">
        <v>453228.33</v>
      </c>
      <c r="D5" s="144">
        <v>210338</v>
      </c>
      <c r="E5" s="144">
        <v>0</v>
      </c>
      <c r="F5" s="144">
        <v>0</v>
      </c>
      <c r="G5" s="144">
        <v>280322.5</v>
      </c>
      <c r="H5" s="144">
        <v>7350.12</v>
      </c>
      <c r="I5" s="144">
        <v>211414.25</v>
      </c>
      <c r="J5" s="144">
        <v>287148.55</v>
      </c>
      <c r="K5" s="144">
        <v>1449801.7500000002</v>
      </c>
    </row>
    <row r="6" spans="1:11" x14ac:dyDescent="0.3">
      <c r="A6" s="143" t="s">
        <v>478</v>
      </c>
      <c r="B6" s="144">
        <v>0</v>
      </c>
      <c r="C6" s="144">
        <v>484923.86</v>
      </c>
      <c r="D6" s="144">
        <v>225370.34</v>
      </c>
      <c r="E6" s="144">
        <v>0</v>
      </c>
      <c r="F6" s="144">
        <v>0</v>
      </c>
      <c r="G6" s="144">
        <v>340504.5</v>
      </c>
      <c r="H6" s="144">
        <v>8998.1200000000008</v>
      </c>
      <c r="I6" s="144">
        <v>254498.74</v>
      </c>
      <c r="J6" s="144">
        <v>380495.43</v>
      </c>
      <c r="K6" s="144">
        <v>1694790.99</v>
      </c>
    </row>
    <row r="7" spans="1:11" x14ac:dyDescent="0.3">
      <c r="A7" s="143" t="s">
        <v>479</v>
      </c>
      <c r="B7" s="144">
        <v>203261.4</v>
      </c>
      <c r="C7" s="144">
        <v>571201.87</v>
      </c>
      <c r="D7" s="144">
        <v>129029.92</v>
      </c>
      <c r="E7" s="144">
        <v>62611.59</v>
      </c>
      <c r="F7" s="144">
        <v>176688.44</v>
      </c>
      <c r="G7" s="144">
        <v>408091.43</v>
      </c>
      <c r="H7" s="144">
        <v>11881.4</v>
      </c>
      <c r="I7" s="144">
        <v>81228.070000000007</v>
      </c>
      <c r="J7" s="144">
        <v>258635.93</v>
      </c>
      <c r="K7" s="144">
        <v>1902630.0499999998</v>
      </c>
    </row>
    <row r="8" spans="1:11" x14ac:dyDescent="0.3">
      <c r="A8" s="143" t="s">
        <v>480</v>
      </c>
      <c r="B8" s="144">
        <v>457534.01</v>
      </c>
      <c r="C8" s="144">
        <v>663571.62</v>
      </c>
      <c r="D8" s="144">
        <v>117812.85</v>
      </c>
      <c r="E8" s="144">
        <v>95080.71</v>
      </c>
      <c r="F8" s="144">
        <v>28944.58</v>
      </c>
      <c r="G8" s="144">
        <v>461487.51</v>
      </c>
      <c r="H8" s="144">
        <v>11527.5</v>
      </c>
      <c r="I8" s="144">
        <v>6903.62</v>
      </c>
      <c r="J8" s="144">
        <v>230992.59</v>
      </c>
      <c r="K8" s="144">
        <v>2073854.9900000002</v>
      </c>
    </row>
    <row r="9" spans="1:11" x14ac:dyDescent="0.3">
      <c r="A9" s="143" t="s">
        <v>481</v>
      </c>
      <c r="B9" s="144">
        <v>494070.6</v>
      </c>
      <c r="C9" s="144">
        <v>556875.55000000005</v>
      </c>
      <c r="D9" s="144">
        <v>109282.54</v>
      </c>
      <c r="E9" s="144">
        <v>95553.09</v>
      </c>
      <c r="F9" s="144">
        <v>9125.2099999999991</v>
      </c>
      <c r="G9" s="144">
        <v>480348.14</v>
      </c>
      <c r="H9" s="144">
        <v>12374.23</v>
      </c>
      <c r="I9" s="144">
        <v>6029.11</v>
      </c>
      <c r="J9" s="144">
        <v>239452.43</v>
      </c>
      <c r="K9" s="144">
        <v>2003110.9</v>
      </c>
    </row>
    <row r="10" spans="1:11" x14ac:dyDescent="0.3">
      <c r="A10" s="143" t="s">
        <v>482</v>
      </c>
      <c r="B10" s="144">
        <v>456333.97</v>
      </c>
      <c r="C10" s="144">
        <v>457718.97</v>
      </c>
      <c r="D10" s="144">
        <v>134750.39000000001</v>
      </c>
      <c r="E10" s="144">
        <v>85191.91</v>
      </c>
      <c r="F10" s="144">
        <v>7251.43</v>
      </c>
      <c r="G10" s="144">
        <v>470391.24</v>
      </c>
      <c r="H10" s="144">
        <v>16926.990000000002</v>
      </c>
      <c r="I10" s="144">
        <v>1614.84</v>
      </c>
      <c r="J10" s="144">
        <v>389667.08</v>
      </c>
      <c r="K10" s="144">
        <v>2019846.82</v>
      </c>
    </row>
    <row r="11" spans="1:11" x14ac:dyDescent="0.3">
      <c r="A11" s="143" t="s">
        <v>483</v>
      </c>
      <c r="B11" s="144">
        <v>591226.14</v>
      </c>
      <c r="C11" s="144">
        <v>712037.33</v>
      </c>
      <c r="D11" s="144">
        <v>199728.3</v>
      </c>
      <c r="E11" s="144">
        <v>104768.66</v>
      </c>
      <c r="F11" s="144">
        <v>2119.08</v>
      </c>
      <c r="G11" s="144">
        <v>673100.48</v>
      </c>
      <c r="H11" s="144">
        <v>23191.03</v>
      </c>
      <c r="I11" s="144">
        <v>1011.82</v>
      </c>
      <c r="J11" s="144">
        <v>390808.07</v>
      </c>
      <c r="K11" s="144">
        <v>2697990.9099999997</v>
      </c>
    </row>
    <row r="12" spans="1:11" x14ac:dyDescent="0.3">
      <c r="A12" s="143" t="s">
        <v>484</v>
      </c>
      <c r="B12" s="144">
        <v>718521.75</v>
      </c>
      <c r="C12" s="144">
        <v>825833.64</v>
      </c>
      <c r="D12" s="144">
        <v>213372.09</v>
      </c>
      <c r="E12" s="144">
        <v>125862.41</v>
      </c>
      <c r="F12" s="144">
        <v>4748.29</v>
      </c>
      <c r="G12" s="144">
        <v>808221.32</v>
      </c>
      <c r="H12" s="144">
        <v>25085.37</v>
      </c>
      <c r="I12" s="144">
        <v>430.77</v>
      </c>
      <c r="J12" s="144">
        <v>319000.11</v>
      </c>
      <c r="K12" s="144">
        <v>3041075.75</v>
      </c>
    </row>
    <row r="13" spans="1:11" x14ac:dyDescent="0.3">
      <c r="A13" s="143" t="s">
        <v>485</v>
      </c>
      <c r="B13" s="144">
        <v>820622.09</v>
      </c>
      <c r="C13" s="144">
        <v>911055.01</v>
      </c>
      <c r="D13" s="144">
        <v>233118.97</v>
      </c>
      <c r="E13" s="144">
        <v>141436.16</v>
      </c>
      <c r="F13" s="144">
        <v>-4850.43</v>
      </c>
      <c r="G13" s="144">
        <v>1010947.77</v>
      </c>
      <c r="H13" s="144">
        <v>33777.78</v>
      </c>
      <c r="I13" s="144">
        <v>424.96</v>
      </c>
      <c r="J13" s="144">
        <v>305362.18</v>
      </c>
      <c r="K13" s="144">
        <v>3451894.4899999998</v>
      </c>
    </row>
    <row r="14" spans="1:11" x14ac:dyDescent="0.3">
      <c r="A14" s="143" t="s">
        <v>486</v>
      </c>
      <c r="B14" s="144">
        <v>908459</v>
      </c>
      <c r="C14" s="144">
        <v>980000</v>
      </c>
      <c r="D14" s="144">
        <v>235000</v>
      </c>
      <c r="E14" s="144">
        <v>153440</v>
      </c>
      <c r="F14" s="144">
        <v>0</v>
      </c>
      <c r="G14" s="144">
        <v>1199300</v>
      </c>
      <c r="H14" s="144">
        <v>55000</v>
      </c>
      <c r="I14" s="144">
        <v>100</v>
      </c>
      <c r="J14" s="144">
        <v>305000</v>
      </c>
      <c r="K14" s="144">
        <v>3836299</v>
      </c>
    </row>
    <row r="15" spans="1:11" x14ac:dyDescent="0.3">
      <c r="A15" s="143" t="s">
        <v>487</v>
      </c>
      <c r="B15" s="144">
        <v>1010890</v>
      </c>
      <c r="C15" s="144">
        <v>1082000</v>
      </c>
      <c r="D15" s="144">
        <v>240000</v>
      </c>
      <c r="E15" s="144">
        <v>167110</v>
      </c>
      <c r="F15" s="144">
        <v>0</v>
      </c>
      <c r="G15" s="144">
        <v>1357000</v>
      </c>
      <c r="H15" s="144">
        <v>78000</v>
      </c>
      <c r="I15" s="144">
        <v>100</v>
      </c>
      <c r="J15" s="144">
        <v>317000</v>
      </c>
      <c r="K15" s="144">
        <v>4252100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4F1A0-58D9-4784-A4F7-07F880DBAC67}">
  <sheetPr>
    <tabColor rgb="FF92D050"/>
  </sheetPr>
  <dimension ref="A1:G15"/>
  <sheetViews>
    <sheetView zoomScale="43" zoomScaleNormal="130" workbookViewId="0">
      <selection activeCell="G2" sqref="G2"/>
    </sheetView>
  </sheetViews>
  <sheetFormatPr defaultRowHeight="14.4" x14ac:dyDescent="0.3"/>
  <cols>
    <col min="1" max="1" width="14.88671875" bestFit="1" customWidth="1"/>
    <col min="2" max="2" width="24.44140625" bestFit="1" customWidth="1"/>
    <col min="3" max="4" width="13.33203125" bestFit="1" customWidth="1"/>
    <col min="5" max="6" width="12" bestFit="1" customWidth="1"/>
    <col min="7" max="7" width="16.109375" bestFit="1" customWidth="1"/>
    <col min="8" max="12" width="14.44140625" bestFit="1" customWidth="1"/>
    <col min="13" max="14" width="17" bestFit="1" customWidth="1"/>
    <col min="15" max="16" width="10.88671875" customWidth="1"/>
    <col min="17" max="17" width="10.77734375" customWidth="1"/>
  </cols>
  <sheetData>
    <row r="1" spans="1:7" x14ac:dyDescent="0.3">
      <c r="B1" s="142" t="s">
        <v>468</v>
      </c>
    </row>
    <row r="2" spans="1:7" x14ac:dyDescent="0.3">
      <c r="A2" s="142" t="s">
        <v>1</v>
      </c>
      <c r="B2" t="s">
        <v>63</v>
      </c>
      <c r="C2" t="s">
        <v>509</v>
      </c>
      <c r="D2" t="s">
        <v>510</v>
      </c>
      <c r="E2" t="s">
        <v>511</v>
      </c>
      <c r="F2" t="s">
        <v>512</v>
      </c>
      <c r="G2" t="s">
        <v>467</v>
      </c>
    </row>
    <row r="3" spans="1:7" x14ac:dyDescent="0.3">
      <c r="A3" s="143" t="s">
        <v>475</v>
      </c>
      <c r="B3" s="144">
        <v>79125.05</v>
      </c>
      <c r="C3" s="144">
        <v>20160.27</v>
      </c>
      <c r="D3" s="144">
        <v>87750.54</v>
      </c>
      <c r="E3" s="144">
        <v>13472.26</v>
      </c>
      <c r="F3" s="144">
        <v>5696.32</v>
      </c>
      <c r="G3" s="144">
        <v>206204.44</v>
      </c>
    </row>
    <row r="4" spans="1:7" x14ac:dyDescent="0.3">
      <c r="A4" s="143" t="s">
        <v>476</v>
      </c>
      <c r="B4" s="144">
        <v>81886.98</v>
      </c>
      <c r="C4" s="144">
        <v>22685.3</v>
      </c>
      <c r="D4" s="144">
        <v>99321.39</v>
      </c>
      <c r="E4" s="144">
        <v>14352</v>
      </c>
      <c r="F4" s="144">
        <v>6237.08</v>
      </c>
      <c r="G4" s="144">
        <v>224482.74999999997</v>
      </c>
    </row>
    <row r="5" spans="1:7" x14ac:dyDescent="0.3">
      <c r="A5" s="143" t="s">
        <v>501</v>
      </c>
      <c r="B5" s="144">
        <v>79958.320000000007</v>
      </c>
      <c r="C5" s="144">
        <v>21848.9</v>
      </c>
      <c r="D5" s="144">
        <v>105994.58</v>
      </c>
      <c r="E5" s="144">
        <v>15320.81</v>
      </c>
      <c r="F5" s="144">
        <v>6183.9</v>
      </c>
      <c r="G5" s="144">
        <v>229306.50999999998</v>
      </c>
    </row>
    <row r="6" spans="1:7" x14ac:dyDescent="0.3">
      <c r="A6" s="143" t="s">
        <v>478</v>
      </c>
      <c r="B6" s="144">
        <v>86370.92</v>
      </c>
      <c r="C6" s="144">
        <v>25228.14</v>
      </c>
      <c r="D6" s="144">
        <v>120374.48</v>
      </c>
      <c r="E6" s="144">
        <v>17469.27</v>
      </c>
      <c r="F6" s="144">
        <v>6963.69</v>
      </c>
      <c r="G6" s="144">
        <v>256406.49999999997</v>
      </c>
    </row>
    <row r="7" spans="1:7" x14ac:dyDescent="0.3">
      <c r="A7" s="143" t="s">
        <v>479</v>
      </c>
      <c r="B7" s="144">
        <v>90445.24</v>
      </c>
      <c r="C7" s="144">
        <v>28418.799999999999</v>
      </c>
      <c r="D7" s="144">
        <v>135362.35999999999</v>
      </c>
      <c r="E7" s="144">
        <v>19344.87</v>
      </c>
      <c r="F7" s="144">
        <v>8033.79</v>
      </c>
      <c r="G7" s="144">
        <v>281605.06</v>
      </c>
    </row>
    <row r="8" spans="1:7" x14ac:dyDescent="0.3">
      <c r="A8" s="143" t="s">
        <v>502</v>
      </c>
      <c r="B8" s="144">
        <v>95230.59</v>
      </c>
      <c r="C8" s="144">
        <v>29370.54</v>
      </c>
      <c r="D8" s="144">
        <v>141829.60999999999</v>
      </c>
      <c r="E8" s="144">
        <v>21738.880000000001</v>
      </c>
      <c r="F8" s="144">
        <v>8431.44</v>
      </c>
      <c r="G8" s="144">
        <v>296601.06</v>
      </c>
    </row>
    <row r="9" spans="1:7" x14ac:dyDescent="0.3">
      <c r="A9" s="143" t="s">
        <v>481</v>
      </c>
      <c r="B9" s="144">
        <v>111092.43</v>
      </c>
      <c r="C9" s="144">
        <v>31528.49</v>
      </c>
      <c r="D9" s="144">
        <v>146821.92000000001</v>
      </c>
      <c r="E9" s="144">
        <v>23087.69</v>
      </c>
      <c r="F9" s="144">
        <v>9086.14</v>
      </c>
      <c r="G9" s="144">
        <v>321616.67</v>
      </c>
    </row>
    <row r="10" spans="1:7" x14ac:dyDescent="0.3">
      <c r="A10" s="143" t="s">
        <v>482</v>
      </c>
      <c r="B10" s="144">
        <v>134304.92000000001</v>
      </c>
      <c r="C10" s="144">
        <v>34615.96</v>
      </c>
      <c r="D10" s="144">
        <v>145181.03</v>
      </c>
      <c r="E10" s="144">
        <v>24710.34</v>
      </c>
      <c r="F10" s="144">
        <v>8350.77</v>
      </c>
      <c r="G10" s="144">
        <v>347163.02000000008</v>
      </c>
    </row>
    <row r="11" spans="1:7" x14ac:dyDescent="0.3">
      <c r="A11" s="143" t="s">
        <v>483</v>
      </c>
      <c r="B11" s="144">
        <v>137986.97</v>
      </c>
      <c r="C11" s="144">
        <v>35687.93</v>
      </c>
      <c r="D11" s="144">
        <v>161728.26999999999</v>
      </c>
      <c r="E11" s="144">
        <v>24426.52</v>
      </c>
      <c r="F11" s="144">
        <v>8406.2199999999993</v>
      </c>
      <c r="G11" s="144">
        <v>368235.91</v>
      </c>
    </row>
    <row r="12" spans="1:7" x14ac:dyDescent="0.3">
      <c r="A12" s="143" t="s">
        <v>484</v>
      </c>
      <c r="B12" s="144">
        <v>142940.01</v>
      </c>
      <c r="C12" s="144">
        <v>47455.55</v>
      </c>
      <c r="D12" s="144">
        <v>175666.05</v>
      </c>
      <c r="E12" s="144">
        <v>31343.599999999999</v>
      </c>
      <c r="F12" s="144">
        <v>9407.7900000000009</v>
      </c>
      <c r="G12" s="144">
        <v>406812.99999999994</v>
      </c>
    </row>
    <row r="13" spans="1:7" x14ac:dyDescent="0.3">
      <c r="A13" s="143" t="s">
        <v>485</v>
      </c>
      <c r="B13" s="144">
        <v>154256.28</v>
      </c>
      <c r="C13" s="144">
        <v>54742.33</v>
      </c>
      <c r="D13" s="144">
        <v>197020.12</v>
      </c>
      <c r="E13" s="144">
        <v>35147.800000000003</v>
      </c>
      <c r="F13" s="144">
        <v>10427.48</v>
      </c>
      <c r="G13" s="144">
        <v>451594.00999999995</v>
      </c>
    </row>
    <row r="14" spans="1:7" x14ac:dyDescent="0.3">
      <c r="A14" s="143" t="s">
        <v>503</v>
      </c>
      <c r="B14" s="144">
        <v>159500</v>
      </c>
      <c r="C14" s="144">
        <v>51876.77</v>
      </c>
      <c r="D14" s="144">
        <v>204628.97</v>
      </c>
      <c r="E14" s="144">
        <v>36557.31</v>
      </c>
      <c r="F14" s="144">
        <v>11330.01</v>
      </c>
      <c r="G14" s="144">
        <v>463893.06</v>
      </c>
    </row>
    <row r="15" spans="1:7" x14ac:dyDescent="0.3">
      <c r="A15" s="143" t="s">
        <v>504</v>
      </c>
      <c r="B15" s="144">
        <v>180000</v>
      </c>
      <c r="C15" s="144">
        <v>55000</v>
      </c>
      <c r="D15" s="144">
        <v>212030.78</v>
      </c>
      <c r="E15" s="144">
        <v>39019.800000000003</v>
      </c>
      <c r="F15" s="144">
        <v>12193</v>
      </c>
      <c r="G15" s="144">
        <v>498243.58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43DA6-CBA7-4E02-88FF-4E073FDAE379}">
  <sheetPr>
    <tabColor rgb="FFC00000"/>
  </sheetPr>
  <dimension ref="A3:L18"/>
  <sheetViews>
    <sheetView zoomScale="40" workbookViewId="0"/>
  </sheetViews>
  <sheetFormatPr defaultRowHeight="14.4" x14ac:dyDescent="0.3"/>
  <cols>
    <col min="1" max="1" width="13.21875" bestFit="1" customWidth="1"/>
    <col min="2" max="2" width="27.5546875" bestFit="1" customWidth="1"/>
    <col min="3" max="3" width="22.88671875" bestFit="1" customWidth="1"/>
    <col min="4" max="4" width="21.21875" bestFit="1" customWidth="1"/>
    <col min="5" max="5" width="33.44140625" bestFit="1" customWidth="1"/>
    <col min="6" max="6" width="16.21875" bestFit="1" customWidth="1"/>
    <col min="7" max="7" width="19.44140625" bestFit="1" customWidth="1"/>
    <col min="8" max="8" width="41.21875" bestFit="1" customWidth="1"/>
    <col min="9" max="19" width="20.33203125" bestFit="1" customWidth="1"/>
    <col min="20" max="20" width="24.33203125" bestFit="1" customWidth="1"/>
  </cols>
  <sheetData>
    <row r="3" spans="1:12" x14ac:dyDescent="0.3">
      <c r="B3" s="142" t="s">
        <v>468</v>
      </c>
      <c r="H3" s="142" t="s">
        <v>466</v>
      </c>
      <c r="I3" t="s">
        <v>485</v>
      </c>
    </row>
    <row r="4" spans="1:12" x14ac:dyDescent="0.3">
      <c r="B4" t="s">
        <v>23</v>
      </c>
      <c r="E4" t="s">
        <v>490</v>
      </c>
      <c r="F4" t="s">
        <v>467</v>
      </c>
      <c r="H4" s="143" t="s">
        <v>448</v>
      </c>
      <c r="I4" s="144">
        <v>534009.12</v>
      </c>
    </row>
    <row r="5" spans="1:12" x14ac:dyDescent="0.3">
      <c r="A5" s="142" t="s">
        <v>1</v>
      </c>
      <c r="B5" t="s">
        <v>448</v>
      </c>
      <c r="C5" t="s">
        <v>418</v>
      </c>
      <c r="D5" t="s">
        <v>446</v>
      </c>
      <c r="H5" s="147" t="s">
        <v>454</v>
      </c>
      <c r="I5" s="144">
        <v>741.31</v>
      </c>
    </row>
    <row r="6" spans="1:12" x14ac:dyDescent="0.3">
      <c r="A6" s="143" t="s">
        <v>475</v>
      </c>
      <c r="B6" s="144">
        <v>213379.83000000002</v>
      </c>
      <c r="C6" s="144">
        <v>167025.27000000002</v>
      </c>
      <c r="D6" s="144">
        <v>3386.56</v>
      </c>
      <c r="E6" s="144">
        <v>383791.66000000003</v>
      </c>
      <c r="F6" s="144">
        <v>383791.66000000003</v>
      </c>
      <c r="H6" s="147" t="s">
        <v>450</v>
      </c>
      <c r="I6" s="144">
        <v>6999.23</v>
      </c>
    </row>
    <row r="7" spans="1:12" x14ac:dyDescent="0.3">
      <c r="A7" s="143" t="s">
        <v>476</v>
      </c>
      <c r="B7" s="144">
        <v>209263.81</v>
      </c>
      <c r="C7" s="144">
        <v>171882.23999999999</v>
      </c>
      <c r="D7" s="144">
        <v>4347.51</v>
      </c>
      <c r="E7" s="144">
        <v>385493.56</v>
      </c>
      <c r="F7" s="144">
        <v>385493.56</v>
      </c>
      <c r="H7" s="147" t="s">
        <v>453</v>
      </c>
      <c r="I7" s="144">
        <v>242537.91</v>
      </c>
    </row>
    <row r="8" spans="1:12" x14ac:dyDescent="0.3">
      <c r="A8" s="143" t="s">
        <v>501</v>
      </c>
      <c r="B8" s="144">
        <v>450985.07</v>
      </c>
      <c r="C8" s="144">
        <v>171420.58000000002</v>
      </c>
      <c r="D8" s="144">
        <v>4903.24</v>
      </c>
      <c r="E8" s="144">
        <v>627308.89</v>
      </c>
      <c r="F8" s="144">
        <v>627308.89</v>
      </c>
      <c r="H8" s="147" t="s">
        <v>451</v>
      </c>
      <c r="I8" s="144">
        <v>6708.31</v>
      </c>
      <c r="K8" s="145" t="s">
        <v>466</v>
      </c>
      <c r="L8" s="145" t="s">
        <v>489</v>
      </c>
    </row>
    <row r="9" spans="1:12" x14ac:dyDescent="0.3">
      <c r="A9" s="143" t="s">
        <v>478</v>
      </c>
      <c r="B9" s="144">
        <v>400976.72</v>
      </c>
      <c r="C9" s="144">
        <v>185553.97</v>
      </c>
      <c r="D9" s="144">
        <v>4537.33</v>
      </c>
      <c r="E9" s="144">
        <v>591068.0199999999</v>
      </c>
      <c r="F9" s="144">
        <v>591068.0199999999</v>
      </c>
      <c r="H9" s="147" t="s">
        <v>455</v>
      </c>
      <c r="I9" s="144">
        <v>269865.27</v>
      </c>
      <c r="K9" s="147" t="s">
        <v>114</v>
      </c>
      <c r="L9" s="144">
        <v>741.31</v>
      </c>
    </row>
    <row r="10" spans="1:12" x14ac:dyDescent="0.3">
      <c r="A10" s="143" t="s">
        <v>479</v>
      </c>
      <c r="B10" s="144">
        <v>595292.47</v>
      </c>
      <c r="C10" s="144">
        <v>196798</v>
      </c>
      <c r="D10" s="144">
        <v>8749.6</v>
      </c>
      <c r="E10" s="144">
        <v>800840.07</v>
      </c>
      <c r="F10" s="144">
        <v>800840.07</v>
      </c>
      <c r="H10" s="147" t="s">
        <v>456</v>
      </c>
      <c r="I10" s="144">
        <v>7157.09</v>
      </c>
      <c r="K10" s="147" t="s">
        <v>491</v>
      </c>
      <c r="L10" s="144">
        <v>6999.23</v>
      </c>
    </row>
    <row r="11" spans="1:12" x14ac:dyDescent="0.3">
      <c r="A11" s="143" t="s">
        <v>502</v>
      </c>
      <c r="B11" s="144">
        <v>781370.21</v>
      </c>
      <c r="C11" s="144">
        <v>208151.97999999998</v>
      </c>
      <c r="D11" s="144">
        <v>9148.85</v>
      </c>
      <c r="E11" s="144">
        <v>998671.03999999992</v>
      </c>
      <c r="F11" s="144">
        <v>998671.03999999992</v>
      </c>
      <c r="H11" s="143" t="s">
        <v>467</v>
      </c>
      <c r="I11" s="144">
        <v>534009.12</v>
      </c>
      <c r="K11" s="147" t="s">
        <v>493</v>
      </c>
      <c r="L11" s="144">
        <v>242537.91</v>
      </c>
    </row>
    <row r="12" spans="1:12" x14ac:dyDescent="0.3">
      <c r="A12" s="143" t="s">
        <v>481</v>
      </c>
      <c r="B12" s="144">
        <v>708946.87</v>
      </c>
      <c r="C12" s="144">
        <v>235899.84999999998</v>
      </c>
      <c r="D12" s="144">
        <v>9492.19</v>
      </c>
      <c r="E12" s="144">
        <v>954338.90999999992</v>
      </c>
      <c r="F12" s="144">
        <v>954338.90999999992</v>
      </c>
      <c r="K12" s="147" t="s">
        <v>492</v>
      </c>
      <c r="L12" s="144">
        <v>6708.31</v>
      </c>
    </row>
    <row r="13" spans="1:12" x14ac:dyDescent="0.3">
      <c r="A13" s="143" t="s">
        <v>482</v>
      </c>
      <c r="B13" s="144">
        <v>532931.15</v>
      </c>
      <c r="C13" s="144">
        <v>277050.57</v>
      </c>
      <c r="D13" s="144">
        <v>7109.9</v>
      </c>
      <c r="E13" s="144">
        <v>817091.62</v>
      </c>
      <c r="F13" s="144">
        <v>817091.62</v>
      </c>
      <c r="K13" s="147" t="s">
        <v>494</v>
      </c>
      <c r="L13" s="144">
        <v>269865.27</v>
      </c>
    </row>
    <row r="14" spans="1:12" x14ac:dyDescent="0.3">
      <c r="A14" s="143" t="s">
        <v>483</v>
      </c>
      <c r="B14" s="144">
        <v>1059245.2999999998</v>
      </c>
      <c r="C14" s="144">
        <v>291763.87</v>
      </c>
      <c r="D14" s="144">
        <v>9445.11</v>
      </c>
      <c r="E14" s="144">
        <v>1360454.28</v>
      </c>
      <c r="F14" s="144">
        <v>1360454.28</v>
      </c>
      <c r="K14" s="147" t="s">
        <v>495</v>
      </c>
      <c r="L14" s="144">
        <v>7157.09</v>
      </c>
    </row>
    <row r="15" spans="1:12" x14ac:dyDescent="0.3">
      <c r="A15" s="143" t="s">
        <v>484</v>
      </c>
      <c r="B15" s="144">
        <v>1208979.94</v>
      </c>
      <c r="C15" s="144">
        <v>304127.5</v>
      </c>
      <c r="D15" s="144">
        <v>12166.45</v>
      </c>
      <c r="E15" s="144">
        <v>1525273.89</v>
      </c>
      <c r="F15" s="144">
        <v>1525273.89</v>
      </c>
    </row>
    <row r="16" spans="1:12" x14ac:dyDescent="0.3">
      <c r="A16" s="143" t="s">
        <v>485</v>
      </c>
      <c r="B16" s="144">
        <v>1697221.53</v>
      </c>
      <c r="C16" s="144">
        <v>331743.93</v>
      </c>
      <c r="D16" s="144">
        <v>8587.4500000000007</v>
      </c>
      <c r="E16" s="144">
        <v>2037552.91</v>
      </c>
      <c r="F16" s="144">
        <v>2037552.91</v>
      </c>
    </row>
    <row r="17" spans="1:6" x14ac:dyDescent="0.3">
      <c r="A17" s="143" t="s">
        <v>503</v>
      </c>
      <c r="B17" s="144">
        <v>1720934.7900000003</v>
      </c>
      <c r="C17" s="144">
        <v>342091.24</v>
      </c>
      <c r="D17" s="144">
        <v>11503.31</v>
      </c>
      <c r="E17" s="144">
        <v>2074529.3400000003</v>
      </c>
      <c r="F17" s="144">
        <v>2074529.3400000003</v>
      </c>
    </row>
    <row r="18" spans="1:6" x14ac:dyDescent="0.3">
      <c r="A18" s="143" t="s">
        <v>504</v>
      </c>
      <c r="B18" s="144">
        <v>1899102.3800000001</v>
      </c>
      <c r="C18" s="144">
        <v>389088.88</v>
      </c>
      <c r="D18" s="144">
        <v>11186.3</v>
      </c>
      <c r="E18" s="144">
        <v>2299377.56</v>
      </c>
      <c r="F18" s="144">
        <v>2299377.56</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B72C-95E4-470E-A909-0736034EAB0F}">
  <sheetPr>
    <tabColor theme="5" tint="0.59999389629810485"/>
  </sheetPr>
  <dimension ref="A3:P19"/>
  <sheetViews>
    <sheetView zoomScale="46" workbookViewId="0">
      <selection activeCell="P4" sqref="P4"/>
    </sheetView>
  </sheetViews>
  <sheetFormatPr defaultRowHeight="14.4" x14ac:dyDescent="0.3"/>
  <cols>
    <col min="1" max="1" width="16.44140625" bestFit="1" customWidth="1"/>
    <col min="2" max="3" width="20" bestFit="1" customWidth="1"/>
    <col min="4" max="4" width="19" bestFit="1" customWidth="1"/>
    <col min="5" max="5" width="12.21875" bestFit="1" customWidth="1"/>
    <col min="6" max="6" width="12.44140625" bestFit="1" customWidth="1"/>
    <col min="7" max="7" width="19.109375" bestFit="1" customWidth="1"/>
    <col min="8" max="8" width="11" bestFit="1" customWidth="1"/>
    <col min="9" max="12" width="14.21875" bestFit="1" customWidth="1"/>
    <col min="13" max="13" width="16.77734375" bestFit="1" customWidth="1"/>
    <col min="14" max="14" width="28.5546875" customWidth="1"/>
    <col min="15" max="15" width="44" customWidth="1"/>
    <col min="16" max="16" width="22.21875" customWidth="1"/>
  </cols>
  <sheetData>
    <row r="3" spans="1:16" ht="39.6" customHeight="1" x14ac:dyDescent="0.3"/>
    <row r="4" spans="1:16" ht="33" customHeight="1" x14ac:dyDescent="0.3">
      <c r="B4" s="142" t="s">
        <v>468</v>
      </c>
      <c r="M4" s="148" t="s">
        <v>1</v>
      </c>
      <c r="N4" s="148" t="s">
        <v>433</v>
      </c>
      <c r="O4" s="148" t="s">
        <v>460</v>
      </c>
      <c r="P4" s="148" t="s">
        <v>497</v>
      </c>
    </row>
    <row r="5" spans="1:16" x14ac:dyDescent="0.3">
      <c r="B5" t="s">
        <v>21</v>
      </c>
      <c r="G5" t="s">
        <v>496</v>
      </c>
      <c r="H5" t="s">
        <v>467</v>
      </c>
      <c r="M5" s="149" t="s">
        <v>5</v>
      </c>
      <c r="N5" s="150">
        <v>3994966</v>
      </c>
      <c r="O5" s="150">
        <v>3511291</v>
      </c>
      <c r="P5" s="150">
        <v>483675</v>
      </c>
    </row>
    <row r="6" spans="1:16" x14ac:dyDescent="0.3">
      <c r="A6" s="142" t="s">
        <v>1</v>
      </c>
      <c r="B6" t="s">
        <v>216</v>
      </c>
      <c r="C6" t="s">
        <v>217</v>
      </c>
      <c r="D6" t="s">
        <v>215</v>
      </c>
      <c r="E6" t="s">
        <v>222</v>
      </c>
      <c r="F6" t="s">
        <v>212</v>
      </c>
      <c r="M6" s="149" t="s">
        <v>7</v>
      </c>
      <c r="N6" s="150">
        <v>4218196</v>
      </c>
      <c r="O6" s="150">
        <v>3707700</v>
      </c>
      <c r="P6" s="150">
        <v>510496</v>
      </c>
    </row>
    <row r="7" spans="1:16" x14ac:dyDescent="0.3">
      <c r="A7" s="143" t="s">
        <v>475</v>
      </c>
      <c r="B7" s="144">
        <v>137520.26</v>
      </c>
      <c r="C7" s="144">
        <v>136956.26</v>
      </c>
      <c r="D7" s="144">
        <v>580087.59</v>
      </c>
      <c r="E7" s="144">
        <v>25416.23</v>
      </c>
      <c r="F7" s="144">
        <v>563674.67000000004</v>
      </c>
      <c r="G7" s="144">
        <v>1443655.01</v>
      </c>
      <c r="H7" s="144">
        <v>1443655.01</v>
      </c>
      <c r="M7" s="149" t="s">
        <v>8</v>
      </c>
      <c r="N7" s="150">
        <v>4316950</v>
      </c>
      <c r="O7" s="150">
        <v>3737657</v>
      </c>
      <c r="P7" s="150">
        <v>579293</v>
      </c>
    </row>
    <row r="8" spans="1:16" x14ac:dyDescent="0.3">
      <c r="A8" s="143" t="s">
        <v>476</v>
      </c>
      <c r="B8" s="144">
        <v>147608.18</v>
      </c>
      <c r="C8" s="144">
        <v>149200.68</v>
      </c>
      <c r="D8" s="144">
        <v>670312.98</v>
      </c>
      <c r="E8" s="144">
        <v>33533.89</v>
      </c>
      <c r="F8" s="144">
        <v>592000</v>
      </c>
      <c r="G8" s="144">
        <v>1592655.73</v>
      </c>
      <c r="H8" s="144">
        <v>1592655.73</v>
      </c>
      <c r="M8" s="149" t="s">
        <v>9</v>
      </c>
      <c r="N8" s="150">
        <v>6134137</v>
      </c>
      <c r="O8" s="150">
        <v>5678823</v>
      </c>
      <c r="P8" s="150">
        <v>455314</v>
      </c>
    </row>
    <row r="9" spans="1:16" x14ac:dyDescent="0.3">
      <c r="A9" s="143" t="s">
        <v>501</v>
      </c>
      <c r="B9" s="144">
        <v>162188.60999999999</v>
      </c>
      <c r="C9" s="144">
        <v>154033.20000000001</v>
      </c>
      <c r="D9" s="144">
        <v>686666.71</v>
      </c>
      <c r="E9" s="144">
        <v>36053.72</v>
      </c>
      <c r="F9" s="144">
        <v>585000</v>
      </c>
      <c r="G9" s="144">
        <v>1623942.24</v>
      </c>
      <c r="H9" s="144">
        <v>1623942.24</v>
      </c>
      <c r="M9" s="149" t="s">
        <v>10</v>
      </c>
      <c r="N9" s="150">
        <v>6554002</v>
      </c>
      <c r="O9" s="150">
        <v>5872605</v>
      </c>
      <c r="P9" s="150">
        <v>681397</v>
      </c>
    </row>
    <row r="10" spans="1:16" x14ac:dyDescent="0.3">
      <c r="A10" s="143" t="s">
        <v>478</v>
      </c>
      <c r="B10" s="144">
        <v>174035.07</v>
      </c>
      <c r="C10" s="144">
        <v>142525.75</v>
      </c>
      <c r="D10" s="144">
        <v>664567.49</v>
      </c>
      <c r="E10" s="144">
        <v>44191.49</v>
      </c>
      <c r="F10" s="144">
        <v>583045</v>
      </c>
      <c r="G10" s="144">
        <v>1608364.8</v>
      </c>
      <c r="H10" s="144">
        <v>1608364.8</v>
      </c>
      <c r="M10" s="149" t="s">
        <v>11</v>
      </c>
      <c r="N10" s="150">
        <v>6758482</v>
      </c>
      <c r="O10" s="150">
        <v>6064945</v>
      </c>
      <c r="P10" s="150">
        <v>693537</v>
      </c>
    </row>
    <row r="11" spans="1:16" x14ac:dyDescent="0.3">
      <c r="A11" s="143" t="s">
        <v>479</v>
      </c>
      <c r="B11" s="144">
        <v>185416.61</v>
      </c>
      <c r="C11" s="144">
        <v>159685</v>
      </c>
      <c r="D11" s="144">
        <v>774059.95</v>
      </c>
      <c r="E11" s="144">
        <v>48516.74</v>
      </c>
      <c r="F11" s="144">
        <v>588000</v>
      </c>
      <c r="G11" s="144">
        <v>1755678.3</v>
      </c>
      <c r="H11" s="144">
        <v>1755678.3</v>
      </c>
      <c r="M11" s="149" t="s">
        <v>12</v>
      </c>
      <c r="N11" s="150">
        <v>7301387</v>
      </c>
      <c r="O11" s="150">
        <v>6326549</v>
      </c>
      <c r="P11" s="150">
        <v>974838</v>
      </c>
    </row>
    <row r="12" spans="1:16" x14ac:dyDescent="0.3">
      <c r="A12" s="143" t="s">
        <v>502</v>
      </c>
      <c r="B12" s="144">
        <v>258020.06</v>
      </c>
      <c r="C12" s="144">
        <v>208896</v>
      </c>
      <c r="D12" s="144">
        <v>660165.24</v>
      </c>
      <c r="E12" s="144">
        <v>50609.440000000002</v>
      </c>
      <c r="F12" s="144">
        <v>571000</v>
      </c>
      <c r="G12" s="144">
        <v>1748690.74</v>
      </c>
      <c r="H12" s="144">
        <v>1748690.74</v>
      </c>
      <c r="M12" s="149" t="s">
        <v>13</v>
      </c>
      <c r="N12" s="150">
        <v>8162910</v>
      </c>
      <c r="O12" s="150">
        <v>6184635</v>
      </c>
      <c r="P12" s="150">
        <v>1978275</v>
      </c>
    </row>
    <row r="13" spans="1:16" x14ac:dyDescent="0.3">
      <c r="A13" s="143" t="s">
        <v>481</v>
      </c>
      <c r="B13" s="144">
        <v>321689.3</v>
      </c>
      <c r="C13" s="144">
        <v>217670</v>
      </c>
      <c r="D13" s="144">
        <v>639472.68000000005</v>
      </c>
      <c r="E13" s="144">
        <v>63180.3</v>
      </c>
      <c r="F13" s="144">
        <v>710000</v>
      </c>
      <c r="G13" s="144">
        <v>1952012.28</v>
      </c>
      <c r="H13" s="144">
        <v>1952012.28</v>
      </c>
      <c r="M13" s="149" t="s">
        <v>14</v>
      </c>
      <c r="N13" s="150">
        <v>8249152</v>
      </c>
      <c r="O13" s="150">
        <v>6645468</v>
      </c>
      <c r="P13" s="150">
        <v>1603684</v>
      </c>
    </row>
    <row r="14" spans="1:16" x14ac:dyDescent="0.3">
      <c r="A14" s="143" t="s">
        <v>482</v>
      </c>
      <c r="B14" s="144">
        <v>488606.87</v>
      </c>
      <c r="C14" s="144">
        <v>458240</v>
      </c>
      <c r="D14" s="144">
        <v>743488.03</v>
      </c>
      <c r="E14" s="144">
        <v>123937.57</v>
      </c>
      <c r="F14" s="144">
        <v>1260115.73</v>
      </c>
      <c r="G14" s="144">
        <v>3074388.2</v>
      </c>
      <c r="H14" s="144">
        <v>3074388.2</v>
      </c>
      <c r="M14" s="149" t="s">
        <v>15</v>
      </c>
      <c r="N14" s="150">
        <v>8864893</v>
      </c>
      <c r="O14" s="150">
        <v>7199701</v>
      </c>
      <c r="P14" s="150">
        <v>1665192</v>
      </c>
    </row>
    <row r="15" spans="1:16" x14ac:dyDescent="0.3">
      <c r="A15" s="143" t="s">
        <v>483</v>
      </c>
      <c r="B15" s="144">
        <v>465678.81</v>
      </c>
      <c r="C15" s="144">
        <v>407796.43</v>
      </c>
      <c r="D15" s="144">
        <v>847904.18</v>
      </c>
      <c r="E15" s="144">
        <v>86664.57</v>
      </c>
      <c r="F15" s="144">
        <v>968381.54</v>
      </c>
      <c r="G15" s="144">
        <v>2776425.5300000003</v>
      </c>
      <c r="H15" s="144">
        <v>2776425.5300000003</v>
      </c>
      <c r="M15" s="149" t="s">
        <v>16</v>
      </c>
      <c r="N15" s="150">
        <v>9160050</v>
      </c>
      <c r="O15" s="150">
        <v>7462493</v>
      </c>
      <c r="P15" s="150">
        <v>1697557</v>
      </c>
    </row>
    <row r="16" spans="1:16" x14ac:dyDescent="0.3">
      <c r="A16" s="143" t="s">
        <v>484</v>
      </c>
      <c r="B16" s="144">
        <v>549240.87</v>
      </c>
      <c r="C16" s="144">
        <v>445283.5</v>
      </c>
      <c r="D16" s="144">
        <v>715950.53</v>
      </c>
      <c r="E16" s="144">
        <v>93731.28</v>
      </c>
      <c r="F16" s="144">
        <v>1421000</v>
      </c>
      <c r="G16" s="144">
        <v>3225206.1799999997</v>
      </c>
      <c r="H16" s="144">
        <v>3225206.1799999997</v>
      </c>
      <c r="M16" s="149" t="s">
        <v>17</v>
      </c>
      <c r="N16" s="150">
        <v>9693665</v>
      </c>
      <c r="O16" s="150">
        <v>8407558</v>
      </c>
      <c r="P16" s="150">
        <v>1286107</v>
      </c>
    </row>
    <row r="17" spans="1:16" x14ac:dyDescent="0.3">
      <c r="A17" s="143" t="s">
        <v>485</v>
      </c>
      <c r="B17" s="144">
        <v>571191.61</v>
      </c>
      <c r="C17" s="144">
        <v>457486.99</v>
      </c>
      <c r="D17" s="144">
        <v>644427.47</v>
      </c>
      <c r="E17" s="144">
        <v>120429.2</v>
      </c>
      <c r="F17" s="144">
        <v>1543000</v>
      </c>
      <c r="G17" s="144">
        <v>3336535.2699999996</v>
      </c>
      <c r="H17" s="144">
        <v>3336535.2699999996</v>
      </c>
      <c r="M17" s="149" t="s">
        <v>18</v>
      </c>
      <c r="N17" s="150">
        <v>10566349</v>
      </c>
      <c r="O17" s="150">
        <v>9038648</v>
      </c>
      <c r="P17" s="150">
        <v>1527701</v>
      </c>
    </row>
    <row r="18" spans="1:16" x14ac:dyDescent="0.3">
      <c r="A18" s="143" t="s">
        <v>503</v>
      </c>
      <c r="B18" s="144">
        <v>394007.06</v>
      </c>
      <c r="C18" s="144">
        <v>360809.92</v>
      </c>
      <c r="D18" s="144">
        <v>747644.75</v>
      </c>
      <c r="E18" s="144">
        <v>107711.53</v>
      </c>
      <c r="F18" s="144">
        <v>1400697.4</v>
      </c>
      <c r="G18" s="144">
        <v>3010870.66</v>
      </c>
      <c r="H18" s="144">
        <v>3010870.66</v>
      </c>
    </row>
    <row r="19" spans="1:16" x14ac:dyDescent="0.3">
      <c r="A19" s="143" t="s">
        <v>504</v>
      </c>
      <c r="B19" s="144">
        <v>484082.34</v>
      </c>
      <c r="C19" s="144">
        <v>360809.92</v>
      </c>
      <c r="D19" s="144">
        <v>606191.25</v>
      </c>
      <c r="E19" s="144">
        <v>111013.36</v>
      </c>
      <c r="F19" s="144">
        <v>1482000</v>
      </c>
      <c r="G19" s="144">
        <v>3044096.87</v>
      </c>
      <c r="H19" s="144">
        <v>3044096.87</v>
      </c>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FE76-191E-4A47-BAC3-665305CDCEED}">
  <sheetPr>
    <tabColor theme="7" tint="-0.249977111117893"/>
  </sheetPr>
  <dimension ref="A2:D11"/>
  <sheetViews>
    <sheetView zoomScale="45" zoomScaleNormal="91" workbookViewId="0">
      <selection activeCell="K48" sqref="K48"/>
    </sheetView>
  </sheetViews>
  <sheetFormatPr defaultRowHeight="14.4" x14ac:dyDescent="0.3"/>
  <cols>
    <col min="1" max="1" width="37.21875" bestFit="1" customWidth="1"/>
    <col min="2" max="2" width="22.109375" bestFit="1" customWidth="1"/>
    <col min="3" max="3" width="18.6640625" bestFit="1" customWidth="1"/>
    <col min="4" max="12" width="23.21875" bestFit="1" customWidth="1"/>
    <col min="13" max="13" width="16.77734375" bestFit="1" customWidth="1"/>
  </cols>
  <sheetData>
    <row r="2" spans="1:4" x14ac:dyDescent="0.3">
      <c r="A2" s="142" t="s">
        <v>0</v>
      </c>
      <c r="B2" t="s">
        <v>4</v>
      </c>
    </row>
    <row r="4" spans="1:4" x14ac:dyDescent="0.3">
      <c r="A4" s="142" t="s">
        <v>466</v>
      </c>
      <c r="B4" t="s">
        <v>500</v>
      </c>
      <c r="C4" t="s">
        <v>499</v>
      </c>
      <c r="D4" t="s">
        <v>498</v>
      </c>
    </row>
    <row r="5" spans="1:4" x14ac:dyDescent="0.3">
      <c r="A5" s="143" t="s">
        <v>359</v>
      </c>
      <c r="B5" s="144">
        <v>90434.52</v>
      </c>
      <c r="C5" s="144">
        <v>96877.75</v>
      </c>
      <c r="D5" s="144">
        <v>325000</v>
      </c>
    </row>
    <row r="6" spans="1:4" x14ac:dyDescent="0.3">
      <c r="A6" s="143" t="s">
        <v>355</v>
      </c>
      <c r="B6" s="144">
        <v>43991.35</v>
      </c>
      <c r="C6" s="144">
        <v>59528.76</v>
      </c>
      <c r="D6" s="144">
        <v>90237.98</v>
      </c>
    </row>
    <row r="7" spans="1:4" x14ac:dyDescent="0.3">
      <c r="A7" s="143" t="s">
        <v>448</v>
      </c>
      <c r="B7" s="144">
        <v>226411.08</v>
      </c>
      <c r="C7" s="144">
        <v>228124.6</v>
      </c>
      <c r="D7" s="144">
        <v>481884.77</v>
      </c>
    </row>
    <row r="8" spans="1:4" x14ac:dyDescent="0.3">
      <c r="A8" s="143" t="s">
        <v>418</v>
      </c>
      <c r="B8" s="144">
        <v>28956.11</v>
      </c>
      <c r="C8" s="144">
        <v>39565.879999999997</v>
      </c>
      <c r="D8" s="144">
        <v>72257.03</v>
      </c>
    </row>
    <row r="9" spans="1:4" x14ac:dyDescent="0.3">
      <c r="A9" s="143" t="s">
        <v>122</v>
      </c>
      <c r="B9" s="144">
        <v>40113.760000000002</v>
      </c>
      <c r="C9" s="144">
        <v>45500.65</v>
      </c>
      <c r="D9" s="144">
        <v>82442.84</v>
      </c>
    </row>
    <row r="10" spans="1:4" x14ac:dyDescent="0.3">
      <c r="A10" s="143" t="s">
        <v>373</v>
      </c>
      <c r="B10" s="144">
        <v>10730.42</v>
      </c>
      <c r="C10" s="144">
        <v>10632.31</v>
      </c>
      <c r="D10" s="144">
        <v>12487.11</v>
      </c>
    </row>
    <row r="11" spans="1:4" x14ac:dyDescent="0.3">
      <c r="A11" s="143" t="s">
        <v>467</v>
      </c>
      <c r="B11" s="144">
        <v>440637.23999999993</v>
      </c>
      <c r="C11" s="144">
        <v>480229.95</v>
      </c>
      <c r="D11" s="144">
        <v>1064309.7300000002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894CC-5EFB-4693-95AE-3D60E6977EF2}">
  <dimension ref="A1:D57"/>
  <sheetViews>
    <sheetView topLeftCell="C1" zoomScale="95" workbookViewId="0">
      <selection activeCell="C10" sqref="C10"/>
    </sheetView>
  </sheetViews>
  <sheetFormatPr defaultRowHeight="14.4" x14ac:dyDescent="0.3"/>
  <cols>
    <col min="1" max="1" width="28.44140625" customWidth="1"/>
    <col min="2" max="2" width="17.88671875" customWidth="1"/>
    <col min="3" max="3" width="23.88671875" style="24" customWidth="1"/>
    <col min="4" max="4" width="25.88671875" customWidth="1"/>
  </cols>
  <sheetData>
    <row r="1" spans="1:4" x14ac:dyDescent="0.3">
      <c r="A1" s="162" t="s">
        <v>37</v>
      </c>
      <c r="B1" s="162"/>
      <c r="C1" s="162"/>
      <c r="D1" s="162"/>
    </row>
    <row r="2" spans="1:4" x14ac:dyDescent="0.3">
      <c r="A2" s="13" t="s">
        <v>0</v>
      </c>
      <c r="B2" s="13" t="s">
        <v>1</v>
      </c>
      <c r="C2" s="13" t="s">
        <v>2</v>
      </c>
      <c r="D2" s="13" t="s">
        <v>3</v>
      </c>
    </row>
    <row r="3" spans="1:4" x14ac:dyDescent="0.3">
      <c r="A3" s="131" t="s">
        <v>6</v>
      </c>
      <c r="B3" s="2" t="s">
        <v>5</v>
      </c>
      <c r="C3" s="43">
        <v>1217798.79</v>
      </c>
      <c r="D3" s="9" t="s">
        <v>6</v>
      </c>
    </row>
    <row r="4" spans="1:4" x14ac:dyDescent="0.3">
      <c r="A4" s="1" t="s">
        <v>4</v>
      </c>
      <c r="B4" s="2" t="s">
        <v>7</v>
      </c>
      <c r="C4" s="43">
        <v>1328908.96</v>
      </c>
      <c r="D4" s="9" t="s">
        <v>6</v>
      </c>
    </row>
    <row r="5" spans="1:4" x14ac:dyDescent="0.3">
      <c r="A5" s="1" t="s">
        <v>4</v>
      </c>
      <c r="B5" s="2" t="s">
        <v>8</v>
      </c>
      <c r="C5" s="43">
        <v>1436160.22</v>
      </c>
      <c r="D5" s="9" t="s">
        <v>6</v>
      </c>
    </row>
    <row r="6" spans="1:4" x14ac:dyDescent="0.3">
      <c r="A6" s="1" t="s">
        <v>4</v>
      </c>
      <c r="B6" s="2" t="s">
        <v>9</v>
      </c>
      <c r="C6" s="43">
        <v>1615987.98</v>
      </c>
      <c r="D6" s="9" t="s">
        <v>6</v>
      </c>
    </row>
    <row r="7" spans="1:4" x14ac:dyDescent="0.3">
      <c r="A7" s="1" t="s">
        <v>4</v>
      </c>
      <c r="B7" s="2" t="s">
        <v>10</v>
      </c>
      <c r="C7" s="43">
        <v>1691143.1</v>
      </c>
      <c r="D7" s="9" t="s">
        <v>6</v>
      </c>
    </row>
    <row r="8" spans="1:4" x14ac:dyDescent="0.3">
      <c r="A8" s="1" t="s">
        <v>4</v>
      </c>
      <c r="B8" s="2" t="s">
        <v>11</v>
      </c>
      <c r="C8" s="43">
        <v>1806462.91</v>
      </c>
      <c r="D8" s="9" t="s">
        <v>6</v>
      </c>
    </row>
    <row r="9" spans="1:4" x14ac:dyDescent="0.3">
      <c r="A9" s="1" t="s">
        <v>4</v>
      </c>
      <c r="B9" s="2" t="s">
        <v>12</v>
      </c>
      <c r="C9" s="43">
        <v>1948083.53</v>
      </c>
      <c r="D9" s="9" t="s">
        <v>6</v>
      </c>
    </row>
    <row r="10" spans="1:4" x14ac:dyDescent="0.3">
      <c r="A10" s="1" t="s">
        <v>4</v>
      </c>
      <c r="B10" s="2" t="s">
        <v>13</v>
      </c>
      <c r="C10" s="43">
        <v>1864513.47</v>
      </c>
      <c r="D10" s="9" t="s">
        <v>6</v>
      </c>
    </row>
    <row r="11" spans="1:4" x14ac:dyDescent="0.3">
      <c r="A11" s="1" t="s">
        <v>4</v>
      </c>
      <c r="B11" s="2" t="s">
        <v>14</v>
      </c>
      <c r="C11" s="43">
        <v>2436421.48</v>
      </c>
      <c r="D11" s="9" t="s">
        <v>6</v>
      </c>
    </row>
    <row r="12" spans="1:4" x14ac:dyDescent="0.3">
      <c r="A12" s="1" t="s">
        <v>4</v>
      </c>
      <c r="B12" s="2" t="s">
        <v>15</v>
      </c>
      <c r="C12" s="43">
        <v>2713267.2</v>
      </c>
      <c r="D12" s="9" t="s">
        <v>6</v>
      </c>
    </row>
    <row r="13" spans="1:4" x14ac:dyDescent="0.3">
      <c r="A13" s="1" t="s">
        <v>4</v>
      </c>
      <c r="B13" s="2" t="s">
        <v>16</v>
      </c>
      <c r="C13" s="43">
        <v>3088174.64</v>
      </c>
      <c r="D13" s="9" t="s">
        <v>6</v>
      </c>
    </row>
    <row r="14" spans="1:4" x14ac:dyDescent="0.3">
      <c r="A14" s="1" t="s">
        <v>4</v>
      </c>
      <c r="B14" s="2" t="s">
        <v>17</v>
      </c>
      <c r="C14" s="43">
        <v>3485869.29</v>
      </c>
      <c r="D14" s="9" t="s">
        <v>6</v>
      </c>
    </row>
    <row r="15" spans="1:4" x14ac:dyDescent="0.3">
      <c r="A15" s="1" t="s">
        <v>4</v>
      </c>
      <c r="B15" s="2" t="s">
        <v>18</v>
      </c>
      <c r="C15" s="43">
        <v>3835268.52</v>
      </c>
      <c r="D15" s="9" t="s">
        <v>6</v>
      </c>
    </row>
    <row r="16" spans="1:4" x14ac:dyDescent="0.3">
      <c r="A16" s="3" t="s">
        <v>19</v>
      </c>
      <c r="B16" s="4" t="s">
        <v>5</v>
      </c>
      <c r="C16" s="44">
        <v>1575096.57</v>
      </c>
      <c r="D16" s="10" t="s">
        <v>20</v>
      </c>
    </row>
    <row r="17" spans="1:4" x14ac:dyDescent="0.3">
      <c r="A17" s="3" t="s">
        <v>19</v>
      </c>
      <c r="B17" s="4" t="s">
        <v>7</v>
      </c>
      <c r="C17" s="44">
        <v>1695136.79</v>
      </c>
      <c r="D17" s="10" t="s">
        <v>20</v>
      </c>
    </row>
    <row r="18" spans="1:4" x14ac:dyDescent="0.3">
      <c r="A18" s="3" t="s">
        <v>19</v>
      </c>
      <c r="B18" s="4" t="s">
        <v>8</v>
      </c>
      <c r="C18" s="44">
        <v>1779528.81</v>
      </c>
      <c r="D18" s="10" t="s">
        <v>20</v>
      </c>
    </row>
    <row r="19" spans="1:4" x14ac:dyDescent="0.3">
      <c r="A19" s="3" t="s">
        <v>19</v>
      </c>
      <c r="B19" s="4" t="s">
        <v>9</v>
      </c>
      <c r="C19" s="44">
        <v>1933018.06</v>
      </c>
      <c r="D19" s="10" t="s">
        <v>20</v>
      </c>
    </row>
    <row r="20" spans="1:4" x14ac:dyDescent="0.3">
      <c r="A20" s="3" t="s">
        <v>19</v>
      </c>
      <c r="B20" s="4" t="s">
        <v>10</v>
      </c>
      <c r="C20" s="44">
        <v>2140084.5299999998</v>
      </c>
      <c r="D20" s="10" t="s">
        <v>20</v>
      </c>
    </row>
    <row r="21" spans="1:4" x14ac:dyDescent="0.3">
      <c r="A21" s="3" t="s">
        <v>19</v>
      </c>
      <c r="B21" s="4" t="s">
        <v>11</v>
      </c>
      <c r="C21" s="44">
        <v>2261570.81</v>
      </c>
      <c r="D21" s="10" t="s">
        <v>20</v>
      </c>
    </row>
    <row r="22" spans="1:4" x14ac:dyDescent="0.3">
      <c r="A22" s="3" t="s">
        <v>19</v>
      </c>
      <c r="B22" s="4" t="s">
        <v>12</v>
      </c>
      <c r="C22" s="44">
        <v>2615319.67</v>
      </c>
      <c r="D22" s="10" t="s">
        <v>20</v>
      </c>
    </row>
    <row r="23" spans="1:4" x14ac:dyDescent="0.3">
      <c r="A23" s="3" t="s">
        <v>19</v>
      </c>
      <c r="B23" s="4" t="s">
        <v>13</v>
      </c>
      <c r="C23" s="44">
        <v>3314851.92</v>
      </c>
      <c r="D23" s="10" t="s">
        <v>20</v>
      </c>
    </row>
    <row r="24" spans="1:4" x14ac:dyDescent="0.3">
      <c r="A24" s="3" t="s">
        <v>19</v>
      </c>
      <c r="B24" s="4" t="s">
        <v>14</v>
      </c>
      <c r="C24" s="44">
        <v>3468188.81</v>
      </c>
      <c r="D24" s="10" t="s">
        <v>20</v>
      </c>
    </row>
    <row r="25" spans="1:4" x14ac:dyDescent="0.3">
      <c r="A25" s="3" t="s">
        <v>19</v>
      </c>
      <c r="B25" s="4" t="s">
        <v>15</v>
      </c>
      <c r="C25" s="44">
        <v>3783698.51</v>
      </c>
      <c r="D25" s="10" t="s">
        <v>20</v>
      </c>
    </row>
    <row r="26" spans="1:4" x14ac:dyDescent="0.3">
      <c r="A26" s="3" t="s">
        <v>19</v>
      </c>
      <c r="B26" s="4" t="s">
        <v>16</v>
      </c>
      <c r="C26" s="44">
        <v>3854082.21</v>
      </c>
      <c r="D26" s="10" t="s">
        <v>20</v>
      </c>
    </row>
    <row r="27" spans="1:4" x14ac:dyDescent="0.3">
      <c r="A27" s="3" t="s">
        <v>19</v>
      </c>
      <c r="B27" s="4" t="s">
        <v>17</v>
      </c>
      <c r="C27" s="44">
        <v>4096607.07</v>
      </c>
      <c r="D27" s="10" t="s">
        <v>20</v>
      </c>
    </row>
    <row r="28" spans="1:4" x14ac:dyDescent="0.3">
      <c r="A28" s="3" t="s">
        <v>19</v>
      </c>
      <c r="B28" s="4" t="s">
        <v>18</v>
      </c>
      <c r="C28" s="44">
        <v>4359702.41</v>
      </c>
      <c r="D28" s="10" t="s">
        <v>20</v>
      </c>
    </row>
    <row r="29" spans="1:4" x14ac:dyDescent="0.3">
      <c r="A29" s="5" t="s">
        <v>21</v>
      </c>
      <c r="B29" s="6" t="s">
        <v>5</v>
      </c>
      <c r="C29" s="45">
        <v>4048883.11</v>
      </c>
      <c r="D29" s="11" t="s">
        <v>22</v>
      </c>
    </row>
    <row r="30" spans="1:4" x14ac:dyDescent="0.3">
      <c r="A30" s="5" t="s">
        <v>21</v>
      </c>
      <c r="B30" s="6" t="s">
        <v>7</v>
      </c>
      <c r="C30" s="45">
        <v>4282482.8499999996</v>
      </c>
      <c r="D30" s="11" t="s">
        <v>22</v>
      </c>
    </row>
    <row r="31" spans="1:4" x14ac:dyDescent="0.3">
      <c r="A31" s="5" t="s">
        <v>21</v>
      </c>
      <c r="B31" s="6" t="s">
        <v>8</v>
      </c>
      <c r="C31" s="45">
        <v>4400951.21</v>
      </c>
      <c r="D31" s="11" t="s">
        <v>22</v>
      </c>
    </row>
    <row r="32" spans="1:4" x14ac:dyDescent="0.3">
      <c r="A32" s="5" t="s">
        <v>21</v>
      </c>
      <c r="B32" s="6" t="s">
        <v>9</v>
      </c>
      <c r="C32" s="45">
        <v>6222850.2400000002</v>
      </c>
      <c r="D32" s="11" t="s">
        <v>22</v>
      </c>
    </row>
    <row r="33" spans="1:4" x14ac:dyDescent="0.3">
      <c r="A33" s="5" t="s">
        <v>21</v>
      </c>
      <c r="B33" s="6" t="s">
        <v>10</v>
      </c>
      <c r="C33" s="45">
        <v>6724689.1799999997</v>
      </c>
      <c r="D33" s="11" t="s">
        <v>22</v>
      </c>
    </row>
    <row r="34" spans="1:4" x14ac:dyDescent="0.3">
      <c r="A34" s="5" t="s">
        <v>21</v>
      </c>
      <c r="B34" s="6" t="s">
        <v>11</v>
      </c>
      <c r="C34" s="45">
        <v>6883718.3899999997</v>
      </c>
      <c r="D34" s="11" t="s">
        <v>22</v>
      </c>
    </row>
    <row r="35" spans="1:4" x14ac:dyDescent="0.3">
      <c r="A35" s="5" t="s">
        <v>21</v>
      </c>
      <c r="B35" s="6" t="s">
        <v>12</v>
      </c>
      <c r="C35" s="45">
        <v>7370383.4699999997</v>
      </c>
      <c r="D35" s="11" t="s">
        <v>22</v>
      </c>
    </row>
    <row r="36" spans="1:4" x14ac:dyDescent="0.3">
      <c r="A36" s="5" t="s">
        <v>21</v>
      </c>
      <c r="B36" s="6" t="s">
        <v>13</v>
      </c>
      <c r="C36" s="45">
        <v>8230730.0800000001</v>
      </c>
      <c r="D36" s="11" t="s">
        <v>22</v>
      </c>
    </row>
    <row r="37" spans="1:4" x14ac:dyDescent="0.3">
      <c r="A37" s="5" t="s">
        <v>21</v>
      </c>
      <c r="B37" s="6" t="s">
        <v>14</v>
      </c>
      <c r="C37" s="45">
        <v>8288737.9699999997</v>
      </c>
      <c r="D37" s="11" t="s">
        <v>22</v>
      </c>
    </row>
    <row r="38" spans="1:4" x14ac:dyDescent="0.3">
      <c r="A38" s="5" t="s">
        <v>21</v>
      </c>
      <c r="B38" s="6" t="s">
        <v>15</v>
      </c>
      <c r="C38" s="45">
        <v>8947200.1400000006</v>
      </c>
      <c r="D38" s="11" t="s">
        <v>22</v>
      </c>
    </row>
    <row r="39" spans="1:4" x14ac:dyDescent="0.3">
      <c r="A39" s="5" t="s">
        <v>21</v>
      </c>
      <c r="B39" s="6" t="s">
        <v>16</v>
      </c>
      <c r="C39" s="45">
        <v>9322304.1799999997</v>
      </c>
      <c r="D39" s="11" t="s">
        <v>22</v>
      </c>
    </row>
    <row r="40" spans="1:4" x14ac:dyDescent="0.3">
      <c r="A40" s="5" t="s">
        <v>21</v>
      </c>
      <c r="B40" s="6" t="s">
        <v>17</v>
      </c>
      <c r="C40" s="45">
        <v>9929531.8800000008</v>
      </c>
      <c r="D40" s="11" t="s">
        <v>22</v>
      </c>
    </row>
    <row r="41" spans="1:4" x14ac:dyDescent="0.3">
      <c r="A41" s="5" t="s">
        <v>21</v>
      </c>
      <c r="B41" s="6" t="s">
        <v>18</v>
      </c>
      <c r="C41" s="45">
        <v>10760098.77</v>
      </c>
      <c r="D41" s="11" t="s">
        <v>22</v>
      </c>
    </row>
    <row r="42" spans="1:4" x14ac:dyDescent="0.3">
      <c r="A42" s="7" t="s">
        <v>23</v>
      </c>
      <c r="B42" s="8" t="s">
        <v>5</v>
      </c>
      <c r="C42" s="46">
        <v>3711135.71</v>
      </c>
      <c r="D42" s="12" t="s">
        <v>24</v>
      </c>
    </row>
    <row r="43" spans="1:4" x14ac:dyDescent="0.3">
      <c r="A43" s="7" t="s">
        <v>23</v>
      </c>
      <c r="B43" s="8" t="s">
        <v>7</v>
      </c>
      <c r="C43" s="46">
        <v>3921706.24</v>
      </c>
      <c r="D43" s="12" t="s">
        <v>24</v>
      </c>
    </row>
    <row r="44" spans="1:4" x14ac:dyDescent="0.3">
      <c r="A44" s="7" t="s">
        <v>23</v>
      </c>
      <c r="B44" s="8" t="s">
        <v>8</v>
      </c>
      <c r="C44" s="46">
        <v>4063795.25</v>
      </c>
      <c r="D44" s="12" t="s">
        <v>24</v>
      </c>
    </row>
    <row r="45" spans="1:4" x14ac:dyDescent="0.3">
      <c r="A45" s="7" t="s">
        <v>23</v>
      </c>
      <c r="B45" s="8" t="s">
        <v>9</v>
      </c>
      <c r="C45" s="46">
        <v>5988306.4100000001</v>
      </c>
      <c r="D45" s="12" t="s">
        <v>24</v>
      </c>
    </row>
    <row r="46" spans="1:4" x14ac:dyDescent="0.3">
      <c r="A46" s="7" t="s">
        <v>23</v>
      </c>
      <c r="B46" s="8" t="s">
        <v>10</v>
      </c>
      <c r="C46" s="46">
        <v>6279856.7999999998</v>
      </c>
      <c r="D46" s="12" t="s">
        <v>24</v>
      </c>
    </row>
    <row r="47" spans="1:4" x14ac:dyDescent="0.3">
      <c r="A47" s="7" t="s">
        <v>23</v>
      </c>
      <c r="B47" s="8" t="s">
        <v>11</v>
      </c>
      <c r="C47" s="46">
        <v>6519135.5800000001</v>
      </c>
      <c r="D47" s="12" t="s">
        <v>24</v>
      </c>
    </row>
    <row r="48" spans="1:4" x14ac:dyDescent="0.3">
      <c r="A48" s="7" t="s">
        <v>23</v>
      </c>
      <c r="B48" s="8" t="s">
        <v>12</v>
      </c>
      <c r="C48" s="46">
        <v>6759434.6500000004</v>
      </c>
      <c r="D48" s="12" t="s">
        <v>24</v>
      </c>
    </row>
    <row r="49" spans="1:4" x14ac:dyDescent="0.3">
      <c r="A49" s="7" t="s">
        <v>23</v>
      </c>
      <c r="B49" s="8" t="s">
        <v>13</v>
      </c>
      <c r="C49" s="46">
        <v>6777429.6600000001</v>
      </c>
      <c r="D49" s="12" t="s">
        <v>24</v>
      </c>
    </row>
    <row r="50" spans="1:4" x14ac:dyDescent="0.3">
      <c r="A50" s="7" t="s">
        <v>23</v>
      </c>
      <c r="B50" s="8" t="s">
        <v>14</v>
      </c>
      <c r="C50" s="46">
        <v>7445313.0499999998</v>
      </c>
      <c r="D50" s="12" t="s">
        <v>24</v>
      </c>
    </row>
    <row r="51" spans="1:4" x14ac:dyDescent="0.3">
      <c r="A51" s="7" t="s">
        <v>23</v>
      </c>
      <c r="B51" s="8" t="s">
        <v>15</v>
      </c>
      <c r="C51" s="46">
        <v>7966516.6100000003</v>
      </c>
      <c r="D51" s="12" t="s">
        <v>24</v>
      </c>
    </row>
    <row r="52" spans="1:4" x14ac:dyDescent="0.3">
      <c r="A52" s="7" t="s">
        <v>23</v>
      </c>
      <c r="B52" s="8" t="s">
        <v>16</v>
      </c>
      <c r="C52" s="46">
        <v>8460982.8800000008</v>
      </c>
      <c r="D52" s="12" t="s">
        <v>24</v>
      </c>
    </row>
    <row r="53" spans="1:4" x14ac:dyDescent="0.3">
      <c r="A53" s="7" t="s">
        <v>23</v>
      </c>
      <c r="B53" s="8" t="s">
        <v>17</v>
      </c>
      <c r="C53" s="46">
        <v>9500416.2799999993</v>
      </c>
      <c r="D53" s="12" t="s">
        <v>24</v>
      </c>
    </row>
    <row r="54" spans="1:4" x14ac:dyDescent="0.3">
      <c r="A54" s="14" t="s">
        <v>23</v>
      </c>
      <c r="B54" s="15" t="s">
        <v>18</v>
      </c>
      <c r="C54" s="47">
        <v>10293122.49</v>
      </c>
      <c r="D54" s="16" t="s">
        <v>24</v>
      </c>
    </row>
    <row r="55" spans="1:4" x14ac:dyDescent="0.3">
      <c r="A55" s="133"/>
      <c r="B55" s="134"/>
      <c r="C55" s="135"/>
      <c r="D55" s="16"/>
    </row>
    <row r="56" spans="1:4" x14ac:dyDescent="0.3">
      <c r="C56" s="132"/>
    </row>
    <row r="57" spans="1:4" x14ac:dyDescent="0.3">
      <c r="C57" s="132"/>
    </row>
  </sheetData>
  <mergeCells count="1">
    <mergeCell ref="A1:D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47F9F-DF2F-497F-A08B-4D688D31AFAB}">
  <dimension ref="A1:R76"/>
  <sheetViews>
    <sheetView zoomScale="81" workbookViewId="0">
      <selection sqref="A1:R1"/>
    </sheetView>
  </sheetViews>
  <sheetFormatPr defaultRowHeight="14.4" x14ac:dyDescent="0.3"/>
  <cols>
    <col min="1" max="1" width="26.6640625" customWidth="1"/>
    <col min="2" max="2" width="15.5546875" bestFit="1" customWidth="1"/>
    <col min="3" max="3" width="36.5546875" customWidth="1"/>
    <col min="4" max="4" width="31.6640625" customWidth="1"/>
    <col min="5" max="5" width="16.44140625" customWidth="1"/>
    <col min="6" max="6" width="14.88671875" customWidth="1"/>
    <col min="7" max="7" width="16.33203125" customWidth="1"/>
    <col min="8" max="8" width="16.109375" customWidth="1"/>
    <col min="9" max="9" width="12.33203125" customWidth="1"/>
    <col min="10" max="10" width="14" customWidth="1"/>
    <col min="11" max="11" width="15.109375" customWidth="1"/>
    <col min="12" max="12" width="13.33203125" customWidth="1"/>
    <col min="13" max="13" width="13.44140625" customWidth="1"/>
    <col min="14" max="14" width="14.5546875" customWidth="1"/>
    <col min="15" max="15" width="14.33203125" customWidth="1"/>
    <col min="16" max="16" width="12.6640625" customWidth="1"/>
    <col min="17" max="17" width="14" customWidth="1"/>
  </cols>
  <sheetData>
    <row r="1" spans="1:18" ht="15.6" x14ac:dyDescent="0.3">
      <c r="A1" s="163" t="s">
        <v>464</v>
      </c>
      <c r="B1" s="163"/>
      <c r="C1" s="163"/>
      <c r="D1" s="163"/>
      <c r="E1" s="163"/>
      <c r="F1" s="163"/>
      <c r="G1" s="163"/>
      <c r="H1" s="163"/>
      <c r="I1" s="163"/>
      <c r="J1" s="163"/>
      <c r="K1" s="163"/>
      <c r="L1" s="163"/>
      <c r="M1" s="163"/>
      <c r="N1" s="163"/>
      <c r="O1" s="163"/>
      <c r="P1" s="163"/>
      <c r="Q1" s="163"/>
      <c r="R1" s="163"/>
    </row>
    <row r="2" spans="1:18" x14ac:dyDescent="0.3">
      <c r="A2" s="136" t="s">
        <v>383</v>
      </c>
      <c r="B2" s="136" t="s">
        <v>0</v>
      </c>
      <c r="C2" s="136" t="s">
        <v>384</v>
      </c>
      <c r="D2" s="136" t="s">
        <v>385</v>
      </c>
      <c r="E2" s="136" t="s">
        <v>5</v>
      </c>
      <c r="F2" s="136" t="s">
        <v>7</v>
      </c>
      <c r="G2" s="136" t="s">
        <v>8</v>
      </c>
      <c r="H2" s="136" t="s">
        <v>9</v>
      </c>
      <c r="I2" s="136" t="s">
        <v>10</v>
      </c>
      <c r="J2" s="136" t="s">
        <v>11</v>
      </c>
      <c r="K2" s="136" t="s">
        <v>12</v>
      </c>
      <c r="L2" s="136" t="s">
        <v>13</v>
      </c>
      <c r="M2" s="136" t="s">
        <v>14</v>
      </c>
      <c r="N2" s="136" t="s">
        <v>15</v>
      </c>
      <c r="O2" s="136" t="s">
        <v>16</v>
      </c>
      <c r="P2" s="136" t="s">
        <v>17</v>
      </c>
      <c r="Q2" s="136" t="s">
        <v>18</v>
      </c>
    </row>
    <row r="3" spans="1:18" x14ac:dyDescent="0.3">
      <c r="A3" s="137" t="s">
        <v>4</v>
      </c>
      <c r="B3" s="137" t="s">
        <v>4</v>
      </c>
      <c r="C3" s="137" t="s">
        <v>382</v>
      </c>
      <c r="D3" s="137" t="s">
        <v>6</v>
      </c>
      <c r="E3" s="138">
        <f>'[1]revenue receipt'!B120</f>
        <v>1217798.79</v>
      </c>
      <c r="F3" s="138">
        <f>'[1]revenue receipt'!C120</f>
        <v>1328908.96</v>
      </c>
      <c r="G3" s="138">
        <f>'[1]revenue receipt'!D120</f>
        <v>1436160.22</v>
      </c>
      <c r="H3" s="138">
        <f>'[1]revenue receipt'!E120</f>
        <v>1615987.98</v>
      </c>
      <c r="I3" s="138">
        <f>'[1]revenue receipt'!F120</f>
        <v>1691143.1</v>
      </c>
      <c r="J3" s="138">
        <f>'[1]revenue receipt'!G120</f>
        <v>1806462.91</v>
      </c>
      <c r="K3" s="138">
        <f>'[1]revenue receipt'!H120</f>
        <v>1948083.53</v>
      </c>
      <c r="L3" s="138">
        <f>'[1]revenue receipt'!I120</f>
        <v>1864513.47</v>
      </c>
      <c r="M3" s="138">
        <f>'[1]revenue receipt'!J120</f>
        <v>2436421.48</v>
      </c>
      <c r="N3" s="138">
        <f>'[1]revenue receipt'!K120</f>
        <v>2713267.2</v>
      </c>
      <c r="O3" s="138">
        <f>'[1]revenue receipt'!L120</f>
        <v>3088174.64</v>
      </c>
      <c r="P3" s="138">
        <f>'[1]revenue receipt'!M120</f>
        <v>3485869.29</v>
      </c>
      <c r="Q3" s="138">
        <f>'[1]revenue receipt'!N120</f>
        <v>3835268.52</v>
      </c>
    </row>
    <row r="4" spans="1:18" x14ac:dyDescent="0.3">
      <c r="A4" s="139" t="s">
        <v>4</v>
      </c>
      <c r="B4" s="139" t="s">
        <v>4</v>
      </c>
      <c r="C4" s="139" t="s">
        <v>386</v>
      </c>
      <c r="D4" s="139" t="s">
        <v>387</v>
      </c>
      <c r="E4" s="140">
        <f>'[1]revenue receipt'!B32</f>
        <v>820765.89</v>
      </c>
      <c r="F4" s="140">
        <f>'[1]revenue receipt'!C32</f>
        <v>907327.3</v>
      </c>
      <c r="G4" s="140">
        <f>'[1]revenue receipt'!D32</f>
        <v>949698.13</v>
      </c>
      <c r="H4" s="140">
        <f>'[1]revenue receipt'!E32</f>
        <v>1107967.73</v>
      </c>
      <c r="I4" s="140">
        <f>'[1]revenue receipt'!F32</f>
        <v>1246178.24</v>
      </c>
      <c r="J4" s="140">
        <f>'[1]revenue receipt'!G32</f>
        <v>1319011.28</v>
      </c>
      <c r="K4" s="140">
        <f>'[1]revenue receipt'!H32</f>
        <v>1359382.28</v>
      </c>
      <c r="L4" s="140">
        <f>'[1]revenue receipt'!I32</f>
        <v>1432107.08</v>
      </c>
      <c r="M4" s="140">
        <f>'[1]revenue receipt'!J32</f>
        <v>1810923.51</v>
      </c>
      <c r="N4" s="140">
        <f>'[1]revenue receipt'!K32</f>
        <v>2105785.8199999998</v>
      </c>
      <c r="O4" s="140">
        <f>'[1]revenue receipt'!L32</f>
        <v>2336024.87</v>
      </c>
      <c r="P4" s="140">
        <f>'[1]revenue receipt'!M32</f>
        <v>2566569.5699999998</v>
      </c>
      <c r="Q4" s="140">
        <f>'[1]revenue receipt'!N32</f>
        <v>2847788.89</v>
      </c>
    </row>
    <row r="5" spans="1:18" x14ac:dyDescent="0.3">
      <c r="A5" s="139" t="s">
        <v>4</v>
      </c>
      <c r="B5" s="139" t="s">
        <v>4</v>
      </c>
      <c r="C5" s="139" t="s">
        <v>388</v>
      </c>
      <c r="D5" s="139" t="s">
        <v>389</v>
      </c>
      <c r="E5" s="140">
        <f>'[1]revenue receipt'!B30</f>
        <v>1138995.47</v>
      </c>
      <c r="F5" s="140">
        <f>'[1]revenue receipt'!C30</f>
        <v>1245135.75</v>
      </c>
      <c r="G5" s="140">
        <f>'[1]revenue receipt'!D30</f>
        <v>1455891.09</v>
      </c>
      <c r="H5" s="140">
        <f>'[1]revenue receipt'!E30</f>
        <v>1715968.04</v>
      </c>
      <c r="I5" s="140">
        <f>'[1]revenue receipt'!F30</f>
        <v>1919183.53</v>
      </c>
      <c r="J5" s="140">
        <f>'[1]revenue receipt'!G30</f>
        <v>2080465.43</v>
      </c>
      <c r="K5" s="140">
        <f>'[1]revenue receipt'!H30</f>
        <v>2010059.33</v>
      </c>
      <c r="L5" s="140">
        <f>'[1]revenue receipt'!I30</f>
        <v>2027103.84</v>
      </c>
      <c r="M5" s="140">
        <f>'[1]revenue receipt'!J30</f>
        <v>2709315.08</v>
      </c>
      <c r="N5" s="140">
        <f>'[1]revenue receipt'!K30</f>
        <v>3054191.64</v>
      </c>
      <c r="O5" s="140">
        <f>'[1]revenue receipt'!L30</f>
        <v>3465518.58</v>
      </c>
      <c r="P5" s="140">
        <f>'[1]revenue receipt'!M30</f>
        <v>3853455.01</v>
      </c>
      <c r="Q5" s="140">
        <f>'[1]revenue receipt'!N30</f>
        <v>4270233</v>
      </c>
    </row>
    <row r="6" spans="1:18" x14ac:dyDescent="0.3">
      <c r="A6" s="139" t="s">
        <v>4</v>
      </c>
      <c r="B6" s="139" t="s">
        <v>4</v>
      </c>
      <c r="C6" s="139" t="s">
        <v>388</v>
      </c>
      <c r="D6" s="139" t="s">
        <v>390</v>
      </c>
      <c r="E6" s="140">
        <f>'[1]revenue receipt'!B31</f>
        <v>318229.58</v>
      </c>
      <c r="F6" s="140">
        <f>'[1]revenue receipt'!C31</f>
        <v>337808.45</v>
      </c>
      <c r="G6" s="140">
        <f>'[1]revenue receipt'!D31</f>
        <v>506192.96</v>
      </c>
      <c r="H6" s="140">
        <f>'[1]revenue receipt'!E31</f>
        <v>608000.31000000006</v>
      </c>
      <c r="I6" s="140">
        <f>'[1]revenue receipt'!F31</f>
        <v>673005.29</v>
      </c>
      <c r="J6" s="140">
        <f>'[1]revenue receipt'!G31</f>
        <v>761454.15</v>
      </c>
      <c r="K6" s="140">
        <f>'[1]revenue receipt'!H31</f>
        <v>650677.05000000005</v>
      </c>
      <c r="L6" s="140">
        <f>'[1]revenue receipt'!I31</f>
        <v>594996.76</v>
      </c>
      <c r="M6" s="140">
        <f>'[1]revenue receipt'!J31</f>
        <v>898391.57</v>
      </c>
      <c r="N6" s="140">
        <f>'[1]revenue receipt'!K31</f>
        <v>948405.82</v>
      </c>
      <c r="O6" s="140">
        <f>'[1]revenue receipt'!L31</f>
        <v>1129493.71</v>
      </c>
      <c r="P6" s="140">
        <f>'[1]revenue receipt'!M31</f>
        <v>1286885.44</v>
      </c>
      <c r="Q6" s="140">
        <f>'[1]revenue receipt'!N31</f>
        <v>1422444.11</v>
      </c>
    </row>
    <row r="7" spans="1:18" x14ac:dyDescent="0.3">
      <c r="A7" s="139" t="s">
        <v>4</v>
      </c>
      <c r="B7" s="139" t="s">
        <v>4</v>
      </c>
      <c r="C7" s="139" t="s">
        <v>391</v>
      </c>
      <c r="D7" s="139" t="s">
        <v>392</v>
      </c>
      <c r="E7" s="140">
        <f>'[1]revenue receipt'!B4</f>
        <v>0</v>
      </c>
      <c r="F7" s="140">
        <f>'[1]revenue receipt'!C4</f>
        <v>0</v>
      </c>
      <c r="G7" s="140">
        <f>'[1]revenue receipt'!D4</f>
        <v>0</v>
      </c>
      <c r="H7" s="140">
        <f>'[1]revenue receipt'!E4</f>
        <v>0</v>
      </c>
      <c r="I7" s="140">
        <f>'[1]revenue receipt'!F4</f>
        <v>444196.53</v>
      </c>
      <c r="J7" s="140">
        <f>'[1]revenue receipt'!G4</f>
        <v>584337.5</v>
      </c>
      <c r="K7" s="140">
        <f>'[1]revenue receipt'!H4</f>
        <v>601783.88</v>
      </c>
      <c r="L7" s="140">
        <f>'[1]revenue receipt'!I4</f>
        <v>551541.51</v>
      </c>
      <c r="M7" s="140">
        <f>'[1]revenue receipt'!J4</f>
        <v>702412.82</v>
      </c>
      <c r="N7" s="140">
        <f>'[1]revenue receipt'!K4</f>
        <v>853900.57</v>
      </c>
      <c r="O7" s="140">
        <f>'[1]revenue receipt'!L4</f>
        <v>962704.98</v>
      </c>
      <c r="P7" s="140">
        <f>'[1]revenue receipt'!M4</f>
        <v>1066839</v>
      </c>
      <c r="Q7" s="140">
        <f>'[1]revenue receipt'!N4</f>
        <v>1183355</v>
      </c>
    </row>
    <row r="8" spans="1:18" x14ac:dyDescent="0.3">
      <c r="A8" s="139" t="s">
        <v>4</v>
      </c>
      <c r="B8" s="139" t="s">
        <v>4</v>
      </c>
      <c r="C8" s="139" t="s">
        <v>391</v>
      </c>
      <c r="D8" s="139" t="s">
        <v>393</v>
      </c>
      <c r="E8" s="140">
        <f>'[1]revenue receipt'!B5</f>
        <v>0</v>
      </c>
      <c r="F8" s="140">
        <f>'[1]revenue receipt'!C5</f>
        <v>0</v>
      </c>
      <c r="G8" s="140">
        <f>'[1]revenue receipt'!D5</f>
        <v>0</v>
      </c>
      <c r="H8" s="140">
        <f>'[1]revenue receipt'!E5</f>
        <v>0</v>
      </c>
      <c r="I8" s="140">
        <f>'[1]revenue receipt'!F5</f>
        <v>203261.4</v>
      </c>
      <c r="J8" s="140">
        <f>'[1]revenue receipt'!G5</f>
        <v>457534.01</v>
      </c>
      <c r="K8" s="140">
        <f>'[1]revenue receipt'!H5</f>
        <v>494070.6</v>
      </c>
      <c r="L8" s="140">
        <f>'[1]revenue receipt'!I5</f>
        <v>456333.97</v>
      </c>
      <c r="M8" s="140">
        <f>'[1]revenue receipt'!J5</f>
        <v>591226.14</v>
      </c>
      <c r="N8" s="140">
        <f>'[1]revenue receipt'!K5</f>
        <v>718521.75</v>
      </c>
      <c r="O8" s="140">
        <f>'[1]revenue receipt'!L5</f>
        <v>820622.09</v>
      </c>
      <c r="P8" s="140">
        <f>'[1]revenue receipt'!M5</f>
        <v>908459</v>
      </c>
      <c r="Q8" s="140">
        <f>'[1]revenue receipt'!N5</f>
        <v>1010890</v>
      </c>
    </row>
    <row r="9" spans="1:18" x14ac:dyDescent="0.3">
      <c r="A9" s="139" t="s">
        <v>4</v>
      </c>
      <c r="B9" s="139" t="s">
        <v>4</v>
      </c>
      <c r="C9" s="139" t="s">
        <v>391</v>
      </c>
      <c r="D9" s="139" t="s">
        <v>394</v>
      </c>
      <c r="E9" s="140">
        <f>'[1]revenue receipt'!B7</f>
        <v>0</v>
      </c>
      <c r="F9" s="140">
        <f>'[1]revenue receipt'!C7</f>
        <v>0</v>
      </c>
      <c r="G9" s="140">
        <f>'[1]revenue receipt'!D7</f>
        <v>0</v>
      </c>
      <c r="H9" s="140">
        <f>'[1]revenue receipt'!E7</f>
        <v>0</v>
      </c>
      <c r="I9" s="140">
        <f>'[1]revenue receipt'!F7</f>
        <v>176688.44</v>
      </c>
      <c r="J9" s="140">
        <f>'[1]revenue receipt'!G7</f>
        <v>28944.58</v>
      </c>
      <c r="K9" s="140">
        <f>'[1]revenue receipt'!H7</f>
        <v>9125.2099999999991</v>
      </c>
      <c r="L9" s="140">
        <f>'[1]revenue receipt'!I7</f>
        <v>7251.43</v>
      </c>
      <c r="M9" s="140">
        <f>'[1]revenue receipt'!J7</f>
        <v>2119.08</v>
      </c>
      <c r="N9" s="140">
        <f>'[1]revenue receipt'!K7</f>
        <v>4748.29</v>
      </c>
      <c r="O9" s="140">
        <f>'[1]revenue receipt'!L7</f>
        <v>-4850.43</v>
      </c>
      <c r="P9" s="140">
        <f>'[1]revenue receipt'!M7</f>
        <v>0</v>
      </c>
      <c r="Q9" s="140">
        <f>'[1]revenue receipt'!N7</f>
        <v>0</v>
      </c>
    </row>
    <row r="10" spans="1:18" x14ac:dyDescent="0.3">
      <c r="A10" s="139" t="s">
        <v>4</v>
      </c>
      <c r="B10" s="139" t="s">
        <v>4</v>
      </c>
      <c r="C10" s="139" t="s">
        <v>391</v>
      </c>
      <c r="D10" s="139" t="s">
        <v>395</v>
      </c>
      <c r="E10" s="140">
        <f>'[1]revenue receipt'!B8</f>
        <v>0</v>
      </c>
      <c r="F10" s="140">
        <f>'[1]revenue receipt'!C8</f>
        <v>0</v>
      </c>
      <c r="G10" s="140">
        <f>'[1]revenue receipt'!D8</f>
        <v>0</v>
      </c>
      <c r="H10" s="140">
        <f>'[1]revenue receipt'!E8</f>
        <v>0</v>
      </c>
      <c r="I10" s="140">
        <f>'[1]revenue receipt'!F8</f>
        <v>62611.59</v>
      </c>
      <c r="J10" s="140">
        <f>'[1]revenue receipt'!G8</f>
        <v>95080.71</v>
      </c>
      <c r="K10" s="140">
        <f>'[1]revenue receipt'!H8</f>
        <v>95553.09</v>
      </c>
      <c r="L10" s="140">
        <f>'[1]revenue receipt'!I8</f>
        <v>85191.91</v>
      </c>
      <c r="M10" s="140">
        <f>'[1]revenue receipt'!J8</f>
        <v>104768.66</v>
      </c>
      <c r="N10" s="140">
        <f>'[1]revenue receipt'!K8</f>
        <v>125862.41</v>
      </c>
      <c r="O10" s="140">
        <f>'[1]revenue receipt'!L8</f>
        <v>141436.16</v>
      </c>
      <c r="P10" s="140">
        <f>'[1]revenue receipt'!M8</f>
        <v>153440</v>
      </c>
      <c r="Q10" s="140">
        <f>'[1]revenue receipt'!N8</f>
        <v>167110</v>
      </c>
    </row>
    <row r="11" spans="1:18" x14ac:dyDescent="0.3">
      <c r="A11" s="139" t="s">
        <v>4</v>
      </c>
      <c r="B11" s="139" t="s">
        <v>4</v>
      </c>
      <c r="C11" s="139" t="s">
        <v>396</v>
      </c>
      <c r="D11" s="139" t="s">
        <v>397</v>
      </c>
      <c r="E11" s="140">
        <f>'[1]revenue receipt'!B9</f>
        <v>632517.30000000005</v>
      </c>
      <c r="F11" s="140">
        <f>'[1]revenue receipt'!C9</f>
        <v>687259.5</v>
      </c>
      <c r="G11" s="140">
        <f>'[1]revenue receipt'!D9</f>
        <v>733515.33</v>
      </c>
      <c r="H11" s="140">
        <f>'[1]revenue receipt'!E9</f>
        <v>840530.12</v>
      </c>
      <c r="I11" s="140">
        <f>'[1]revenue receipt'!F9</f>
        <v>990092.49</v>
      </c>
      <c r="J11" s="140">
        <f>'[1]revenue receipt'!G9</f>
        <v>1125046.98</v>
      </c>
      <c r="K11" s="140">
        <f>'[1]revenue receipt'!H9</f>
        <v>1037155.03</v>
      </c>
      <c r="L11" s="140">
        <f>'[1]revenue receipt'!I9</f>
        <v>927935.69</v>
      </c>
      <c r="M11" s="140">
        <f>'[1]revenue receipt'!J9</f>
        <v>1385089.52</v>
      </c>
      <c r="N11" s="140">
        <f>'[1]revenue receipt'!K9</f>
        <v>1634008.03</v>
      </c>
      <c r="O11" s="140">
        <f>'[1]revenue receipt'!L9</f>
        <v>1922033.48</v>
      </c>
      <c r="P11" s="140">
        <f>'[1]revenue receipt'!M9</f>
        <v>2182000</v>
      </c>
      <c r="Q11" s="140">
        <f>'[1]revenue receipt'!N9</f>
        <v>2442000</v>
      </c>
    </row>
    <row r="12" spans="1:18" x14ac:dyDescent="0.3">
      <c r="A12" s="139" t="s">
        <v>4</v>
      </c>
      <c r="B12" s="139" t="s">
        <v>4</v>
      </c>
      <c r="C12" s="139" t="s">
        <v>396</v>
      </c>
      <c r="D12" s="139" t="s">
        <v>331</v>
      </c>
      <c r="E12" s="140">
        <f>'[1]revenue receipt'!B10</f>
        <v>394677.85</v>
      </c>
      <c r="F12" s="140">
        <f>'[1]revenue receipt'!C10</f>
        <v>428924.74</v>
      </c>
      <c r="G12" s="140">
        <f>'[1]revenue receipt'!D10</f>
        <v>453228.33</v>
      </c>
      <c r="H12" s="140">
        <f>'[1]revenue receipt'!E10</f>
        <v>484923.86</v>
      </c>
      <c r="I12" s="140">
        <f>'[1]revenue receipt'!F10</f>
        <v>571201.87</v>
      </c>
      <c r="J12" s="140">
        <f>'[1]revenue receipt'!G10</f>
        <v>663571.62</v>
      </c>
      <c r="K12" s="140">
        <f>'[1]revenue receipt'!H10</f>
        <v>556875.55000000005</v>
      </c>
      <c r="L12" s="140">
        <f>'[1]revenue receipt'!I10</f>
        <v>457718.97</v>
      </c>
      <c r="M12" s="140">
        <f>'[1]revenue receipt'!J10</f>
        <v>712037.33</v>
      </c>
      <c r="N12" s="140">
        <f>'[1]revenue receipt'!K10</f>
        <v>825833.64</v>
      </c>
      <c r="O12" s="140">
        <f>'[1]revenue receipt'!L10</f>
        <v>911055.01</v>
      </c>
      <c r="P12" s="140">
        <f>'[1]revenue receipt'!M10</f>
        <v>980000</v>
      </c>
      <c r="Q12" s="140">
        <f>'[1]revenue receipt'!N10</f>
        <v>1082000</v>
      </c>
    </row>
    <row r="13" spans="1:18" x14ac:dyDescent="0.3">
      <c r="A13" s="139" t="s">
        <v>4</v>
      </c>
      <c r="B13" s="139" t="s">
        <v>4</v>
      </c>
      <c r="C13" s="139" t="s">
        <v>396</v>
      </c>
      <c r="D13" s="139" t="s">
        <v>398</v>
      </c>
      <c r="E13" s="140">
        <f>'[1]revenue receipt'!B11</f>
        <v>237817.23</v>
      </c>
      <c r="F13" s="140">
        <f>'[1]revenue receipt'!C11</f>
        <v>258325.65</v>
      </c>
      <c r="G13" s="140">
        <f>'[1]revenue receipt'!D11</f>
        <v>280322.5</v>
      </c>
      <c r="H13" s="140">
        <f>'[1]revenue receipt'!E11</f>
        <v>340504.5</v>
      </c>
      <c r="I13" s="140">
        <f>'[1]revenue receipt'!F11</f>
        <v>408091.43</v>
      </c>
      <c r="J13" s="140">
        <f>'[1]revenue receipt'!G11</f>
        <v>461487.51</v>
      </c>
      <c r="K13" s="140">
        <f>'[1]revenue receipt'!H11</f>
        <v>480348.14</v>
      </c>
      <c r="L13" s="140">
        <f>'[1]revenue receipt'!I11</f>
        <v>470391.24</v>
      </c>
      <c r="M13" s="140">
        <f>'[1]revenue receipt'!J11</f>
        <v>673100.48</v>
      </c>
      <c r="N13" s="140">
        <f>'[1]revenue receipt'!K11</f>
        <v>808221.32</v>
      </c>
      <c r="O13" s="140">
        <f>'[1]revenue receipt'!L11</f>
        <v>1010947.77</v>
      </c>
      <c r="P13" s="140">
        <f>'[1]revenue receipt'!M11</f>
        <v>1199300</v>
      </c>
      <c r="Q13" s="140">
        <f>'[1]revenue receipt'!N11</f>
        <v>1357000</v>
      </c>
    </row>
    <row r="14" spans="1:18" x14ac:dyDescent="0.3">
      <c r="A14" s="139" t="s">
        <v>4</v>
      </c>
      <c r="B14" s="139" t="s">
        <v>4</v>
      </c>
      <c r="C14" s="139" t="s">
        <v>399</v>
      </c>
      <c r="D14" s="139" t="s">
        <v>400</v>
      </c>
      <c r="E14" s="140">
        <f>'[1]revenue receipt'!B16</f>
        <v>6025.37</v>
      </c>
      <c r="F14" s="140">
        <f>'[1]revenue receipt'!C16</f>
        <v>8484.36</v>
      </c>
      <c r="G14" s="140">
        <f>'[1]revenue receipt'!D16</f>
        <v>8429.3799999999992</v>
      </c>
      <c r="H14" s="140">
        <f>'[1]revenue receipt'!E16</f>
        <v>9183.26</v>
      </c>
      <c r="I14" s="140">
        <f>'[1]revenue receipt'!F16</f>
        <v>11944.83</v>
      </c>
      <c r="J14" s="140">
        <f>'[1]revenue receipt'!G16</f>
        <v>11568.36</v>
      </c>
      <c r="K14" s="140">
        <f>'[1]revenue receipt'!H16</f>
        <v>12394.04</v>
      </c>
      <c r="L14" s="140">
        <f>'[1]revenue receipt'!I16</f>
        <v>16938.84</v>
      </c>
      <c r="M14" s="140">
        <f>'[1]revenue receipt'!J16</f>
        <v>23203.82</v>
      </c>
      <c r="N14" s="140">
        <f>'[1]revenue receipt'!K16</f>
        <v>25076.35</v>
      </c>
      <c r="O14" s="140">
        <f>'[1]revenue receipt'!L16</f>
        <v>33785.519999999997</v>
      </c>
      <c r="P14" s="140">
        <f>'[1]revenue receipt'!M16</f>
        <v>55000</v>
      </c>
      <c r="Q14" s="140">
        <f>'[1]revenue receipt'!N16</f>
        <v>78000</v>
      </c>
    </row>
    <row r="15" spans="1:18" x14ac:dyDescent="0.3">
      <c r="A15" s="139" t="s">
        <v>4</v>
      </c>
      <c r="B15" s="139" t="s">
        <v>4</v>
      </c>
      <c r="C15" s="139" t="s">
        <v>399</v>
      </c>
      <c r="D15" s="139" t="s">
        <v>342</v>
      </c>
      <c r="E15" s="140">
        <f>'[1]revenue receipt'!B21</f>
        <v>5017.5</v>
      </c>
      <c r="F15" s="140">
        <f>'[1]revenue receipt'!C21</f>
        <v>7398.15</v>
      </c>
      <c r="G15" s="140">
        <f>'[1]revenue receipt'!D21</f>
        <v>7350.12</v>
      </c>
      <c r="H15" s="140">
        <f>'[1]revenue receipt'!E21</f>
        <v>8998.1200000000008</v>
      </c>
      <c r="I15" s="140">
        <f>'[1]revenue receipt'!F21</f>
        <v>11881.4</v>
      </c>
      <c r="J15" s="140">
        <f>'[1]revenue receipt'!G21</f>
        <v>11527.5</v>
      </c>
      <c r="K15" s="140">
        <f>'[1]revenue receipt'!H21</f>
        <v>12374.23</v>
      </c>
      <c r="L15" s="140">
        <f>'[1]revenue receipt'!I21</f>
        <v>16926.990000000002</v>
      </c>
      <c r="M15" s="140">
        <f>'[1]revenue receipt'!J21</f>
        <v>23191.03</v>
      </c>
      <c r="N15" s="140">
        <f>'[1]revenue receipt'!K21</f>
        <v>25085.37</v>
      </c>
      <c r="O15" s="140">
        <f>'[1]revenue receipt'!L21</f>
        <v>33777.78</v>
      </c>
      <c r="P15" s="140">
        <f>'[1]revenue receipt'!M21</f>
        <v>55000</v>
      </c>
      <c r="Q15" s="140">
        <f>'[1]revenue receipt'!N21</f>
        <v>78000</v>
      </c>
    </row>
    <row r="16" spans="1:18" x14ac:dyDescent="0.3">
      <c r="A16" s="139" t="s">
        <v>4</v>
      </c>
      <c r="B16" s="139" t="s">
        <v>4</v>
      </c>
      <c r="C16" s="139" t="s">
        <v>401</v>
      </c>
      <c r="D16" s="139" t="s">
        <v>402</v>
      </c>
      <c r="E16" s="140">
        <f>'[1]revenue receipt'!B22</f>
        <v>497322.97</v>
      </c>
      <c r="F16" s="140">
        <f>'[1]revenue receipt'!C22</f>
        <v>546188.14</v>
      </c>
      <c r="G16" s="140">
        <f>'[1]revenue receipt'!D22</f>
        <v>710068.12</v>
      </c>
      <c r="H16" s="140">
        <f>'[1]revenue receipt'!E22</f>
        <v>862109.13</v>
      </c>
      <c r="I16" s="140">
        <f>'[1]revenue receipt'!F22</f>
        <v>469864.1</v>
      </c>
      <c r="J16" s="140">
        <f>'[1]revenue receipt'!G22</f>
        <v>356698.37</v>
      </c>
      <c r="K16" s="140">
        <f>'[1]revenue receipt'!H22</f>
        <v>355926.17</v>
      </c>
      <c r="L16" s="140">
        <f>'[1]revenue receipt'!I22</f>
        <v>528115.66</v>
      </c>
      <c r="M16" s="140">
        <f>'[1]revenue receipt'!J22</f>
        <v>595383.93000000005</v>
      </c>
      <c r="N16" s="140">
        <f>'[1]revenue receipt'!K22</f>
        <v>537263.52</v>
      </c>
      <c r="O16" s="140">
        <f>'[1]revenue receipt'!L22</f>
        <v>543249.51</v>
      </c>
      <c r="P16" s="140">
        <f>'[1]revenue receipt'!M22</f>
        <v>545100</v>
      </c>
      <c r="Q16" s="140">
        <f>'[1]revenue receipt'!N22</f>
        <v>562100</v>
      </c>
    </row>
    <row r="17" spans="1:17" x14ac:dyDescent="0.3">
      <c r="A17" s="139" t="s">
        <v>4</v>
      </c>
      <c r="B17" s="139" t="s">
        <v>4</v>
      </c>
      <c r="C17" s="139" t="s">
        <v>401</v>
      </c>
      <c r="D17" s="139" t="s">
        <v>246</v>
      </c>
      <c r="E17" s="140">
        <f>'[1]revenue receipt'!B24</f>
        <v>172085.42</v>
      </c>
      <c r="F17" s="140">
        <f>'[1]revenue receipt'!C24</f>
        <v>188016.19</v>
      </c>
      <c r="G17" s="140">
        <f>'[1]revenue receipt'!D24</f>
        <v>210338</v>
      </c>
      <c r="H17" s="140">
        <f>'[1]revenue receipt'!E24</f>
        <v>225370.34</v>
      </c>
      <c r="I17" s="140">
        <f>'[1]revenue receipt'!F24</f>
        <v>129029.92</v>
      </c>
      <c r="J17" s="140">
        <f>'[1]revenue receipt'!G24</f>
        <v>117812.85</v>
      </c>
      <c r="K17" s="140">
        <f>'[1]revenue receipt'!H24</f>
        <v>109282.54</v>
      </c>
      <c r="L17" s="140">
        <f>'[1]revenue receipt'!I24</f>
        <v>134750.39000000001</v>
      </c>
      <c r="M17" s="140">
        <f>'[1]revenue receipt'!J24</f>
        <v>199728.3</v>
      </c>
      <c r="N17" s="140">
        <f>'[1]revenue receipt'!K24</f>
        <v>213372.09</v>
      </c>
      <c r="O17" s="140">
        <f>'[1]revenue receipt'!L24</f>
        <v>233118.97</v>
      </c>
      <c r="P17" s="140">
        <f>'[1]revenue receipt'!M24</f>
        <v>235000</v>
      </c>
      <c r="Q17" s="140">
        <f>'[1]revenue receipt'!N24</f>
        <v>240000</v>
      </c>
    </row>
    <row r="18" spans="1:17" x14ac:dyDescent="0.3">
      <c r="A18" s="139" t="s">
        <v>4</v>
      </c>
      <c r="B18" s="139" t="s">
        <v>4</v>
      </c>
      <c r="C18" s="139" t="s">
        <v>401</v>
      </c>
      <c r="D18" s="139" t="s">
        <v>247</v>
      </c>
      <c r="E18" s="140">
        <f>'[1]revenue receipt'!B25</f>
        <v>169455.14</v>
      </c>
      <c r="F18" s="140">
        <f>'[1]revenue receipt'!C25</f>
        <v>188127.6</v>
      </c>
      <c r="G18" s="140">
        <f>'[1]revenue receipt'!D25</f>
        <v>287148.55</v>
      </c>
      <c r="H18" s="140">
        <f>'[1]revenue receipt'!E25</f>
        <v>380495.43</v>
      </c>
      <c r="I18" s="140">
        <f>'[1]revenue receipt'!F25</f>
        <v>258635.93</v>
      </c>
      <c r="J18" s="140">
        <f>'[1]revenue receipt'!G25</f>
        <v>230992.59</v>
      </c>
      <c r="K18" s="140">
        <f>'[1]revenue receipt'!H25</f>
        <v>239452.43</v>
      </c>
      <c r="L18" s="140">
        <f>'[1]revenue receipt'!I25</f>
        <v>389667.08</v>
      </c>
      <c r="M18" s="140">
        <f>'[1]revenue receipt'!J25</f>
        <v>390808.07</v>
      </c>
      <c r="N18" s="140">
        <f>'[1]revenue receipt'!K25</f>
        <v>319000.11</v>
      </c>
      <c r="O18" s="140">
        <f>'[1]revenue receipt'!L25</f>
        <v>305362.18</v>
      </c>
      <c r="P18" s="140">
        <f>'[1]revenue receipt'!M25</f>
        <v>305000</v>
      </c>
      <c r="Q18" s="140">
        <f>'[1]revenue receipt'!N25</f>
        <v>317000</v>
      </c>
    </row>
    <row r="19" spans="1:17" x14ac:dyDescent="0.3">
      <c r="A19" s="139" t="s">
        <v>4</v>
      </c>
      <c r="B19" s="139" t="s">
        <v>4</v>
      </c>
      <c r="C19" s="139" t="s">
        <v>401</v>
      </c>
      <c r="D19" s="139" t="s">
        <v>346</v>
      </c>
      <c r="E19" s="140">
        <f>'[1]revenue receipt'!B27</f>
        <v>154778.12</v>
      </c>
      <c r="F19" s="140">
        <f>'[1]revenue receipt'!C27</f>
        <v>167969.04</v>
      </c>
      <c r="G19" s="140">
        <f>'[1]revenue receipt'!D27</f>
        <v>211414.25</v>
      </c>
      <c r="H19" s="140">
        <f>'[1]revenue receipt'!E27</f>
        <v>254498.74</v>
      </c>
      <c r="I19" s="140">
        <f>'[1]revenue receipt'!F27</f>
        <v>81228.070000000007</v>
      </c>
      <c r="J19" s="140">
        <f>'[1]revenue receipt'!G27</f>
        <v>6903.62</v>
      </c>
      <c r="K19" s="140">
        <f>'[1]revenue receipt'!H27</f>
        <v>6029.11</v>
      </c>
      <c r="L19" s="140">
        <f>'[1]revenue receipt'!I27</f>
        <v>1614.84</v>
      </c>
      <c r="M19" s="140">
        <f>'[1]revenue receipt'!J27</f>
        <v>1011.82</v>
      </c>
      <c r="N19" s="140">
        <f>'[1]revenue receipt'!K27</f>
        <v>430.77</v>
      </c>
      <c r="O19" s="140">
        <f>'[1]revenue receipt'!L27</f>
        <v>424.96</v>
      </c>
      <c r="P19" s="140">
        <f>'[1]revenue receipt'!M27</f>
        <v>100</v>
      </c>
      <c r="Q19" s="140">
        <f>'[1]revenue receipt'!N27</f>
        <v>100</v>
      </c>
    </row>
    <row r="20" spans="1:17" x14ac:dyDescent="0.3">
      <c r="A20" s="139" t="s">
        <v>4</v>
      </c>
      <c r="B20" s="139" t="s">
        <v>4</v>
      </c>
      <c r="C20" s="139" t="s">
        <v>403</v>
      </c>
      <c r="D20" s="139" t="s">
        <v>404</v>
      </c>
      <c r="E20" s="140">
        <f>'[1]revenue receipt'!B119</f>
        <v>397032.9</v>
      </c>
      <c r="F20" s="140">
        <f>'[1]revenue receipt'!C119</f>
        <v>421581.66</v>
      </c>
      <c r="G20" s="140">
        <f>'[1]revenue receipt'!D119</f>
        <v>486462.09</v>
      </c>
      <c r="H20" s="140">
        <f>'[1]revenue receipt'!E119</f>
        <v>508020.25</v>
      </c>
      <c r="I20" s="140">
        <f>'[1]revenue receipt'!F119</f>
        <v>444964.86</v>
      </c>
      <c r="J20" s="140">
        <f>'[1]revenue receipt'!G119</f>
        <v>487451.63</v>
      </c>
      <c r="K20" s="140">
        <f>'[1]revenue receipt'!H119</f>
        <v>588701.25</v>
      </c>
      <c r="L20" s="140">
        <f>'[1]revenue receipt'!I119</f>
        <v>432406.39</v>
      </c>
      <c r="M20" s="140">
        <f>'[1]revenue receipt'!J119</f>
        <v>625497.97</v>
      </c>
      <c r="N20" s="140">
        <f>'[1]revenue receipt'!K119</f>
        <v>607481.38</v>
      </c>
      <c r="O20" s="140">
        <f>'[1]revenue receipt'!L119</f>
        <v>752149.77</v>
      </c>
      <c r="P20" s="140">
        <f>'[1]revenue receipt'!M119</f>
        <v>919299.72</v>
      </c>
      <c r="Q20" s="140">
        <f>'[1]revenue receipt'!N119</f>
        <v>987479.63</v>
      </c>
    </row>
    <row r="21" spans="1:17" x14ac:dyDescent="0.3">
      <c r="A21" s="139" t="s">
        <v>4</v>
      </c>
      <c r="B21" s="139" t="s">
        <v>4</v>
      </c>
      <c r="C21" s="139" t="s">
        <v>405</v>
      </c>
      <c r="D21" s="139" t="s">
        <v>406</v>
      </c>
      <c r="E21" s="140">
        <f>'[1]revenue receipt'!B35</f>
        <v>883.77</v>
      </c>
      <c r="F21" s="140">
        <f>'[1]revenue receipt'!C35</f>
        <v>1393.59</v>
      </c>
      <c r="G21" s="140">
        <f>'[1]revenue receipt'!D35</f>
        <v>630.14</v>
      </c>
      <c r="H21" s="140">
        <f>'[1]revenue receipt'!E35</f>
        <v>764.85</v>
      </c>
      <c r="I21" s="140">
        <f>'[1]revenue receipt'!F35</f>
        <v>460.13</v>
      </c>
      <c r="J21" s="140">
        <f>'[1]revenue receipt'!G35</f>
        <v>743.71</v>
      </c>
      <c r="K21" s="140">
        <f>'[1]revenue receipt'!H35</f>
        <v>1041.06</v>
      </c>
      <c r="L21" s="140">
        <f>'[1]revenue receipt'!I35</f>
        <v>1168.8</v>
      </c>
      <c r="M21" s="140">
        <f>'[1]revenue receipt'!J35</f>
        <v>193.26</v>
      </c>
      <c r="N21" s="140">
        <f>'[1]revenue receipt'!K35</f>
        <v>1127.6500000000001</v>
      </c>
      <c r="O21" s="140">
        <f>'[1]revenue receipt'!L35</f>
        <v>1858.12</v>
      </c>
      <c r="P21" s="140">
        <f>'[1]revenue receipt'!M35</f>
        <v>1473.82</v>
      </c>
      <c r="Q21" s="140">
        <f>'[1]revenue receipt'!N35</f>
        <v>2318.6799999999998</v>
      </c>
    </row>
    <row r="22" spans="1:17" x14ac:dyDescent="0.3">
      <c r="A22" s="139" t="s">
        <v>4</v>
      </c>
      <c r="B22" s="139" t="s">
        <v>4</v>
      </c>
      <c r="C22" s="139" t="s">
        <v>407</v>
      </c>
      <c r="D22" s="139" t="s">
        <v>408</v>
      </c>
      <c r="E22" s="140">
        <f>'[1]revenue receipt'!B38</f>
        <v>134425.87</v>
      </c>
      <c r="F22" s="140">
        <f>'[1]revenue receipt'!C38</f>
        <v>137818.23000000001</v>
      </c>
      <c r="G22" s="140">
        <f>'[1]revenue receipt'!D38</f>
        <v>158405.84</v>
      </c>
      <c r="H22" s="140">
        <f>'[1]revenue receipt'!E38</f>
        <v>166478.07</v>
      </c>
      <c r="I22" s="140">
        <f>'[1]revenue receipt'!F38</f>
        <v>137085.12</v>
      </c>
      <c r="J22" s="140">
        <f>'[1]revenue receipt'!G38</f>
        <v>140564.19</v>
      </c>
      <c r="K22" s="140">
        <f>'[1]revenue receipt'!H38</f>
        <v>243083.32</v>
      </c>
      <c r="L22" s="140">
        <f>'[1]revenue receipt'!I38</f>
        <v>156406.51</v>
      </c>
      <c r="M22" s="140">
        <f>'[1]revenue receipt'!J38</f>
        <v>206810.28</v>
      </c>
      <c r="N22" s="140">
        <f>'[1]revenue receipt'!K38</f>
        <v>159464.25</v>
      </c>
      <c r="O22" s="140">
        <f>'[1]revenue receipt'!L38</f>
        <v>249528.99</v>
      </c>
      <c r="P22" s="140">
        <f>'[1]revenue receipt'!M38</f>
        <v>372557.09</v>
      </c>
      <c r="Q22" s="140">
        <f>'[1]revenue receipt'!N38</f>
        <v>415237.98</v>
      </c>
    </row>
    <row r="23" spans="1:17" x14ac:dyDescent="0.3">
      <c r="A23" s="139" t="s">
        <v>4</v>
      </c>
      <c r="B23" s="139" t="s">
        <v>4</v>
      </c>
      <c r="C23" s="139" t="s">
        <v>407</v>
      </c>
      <c r="D23" s="139" t="s">
        <v>355</v>
      </c>
      <c r="E23" s="140">
        <f>'[1]revenue receipt'!B39</f>
        <v>43991.35</v>
      </c>
      <c r="F23" s="140">
        <f>'[1]revenue receipt'!C39</f>
        <v>47985.19</v>
      </c>
      <c r="G23" s="140">
        <f>'[1]revenue receipt'!D39</f>
        <v>46278.69</v>
      </c>
      <c r="H23" s="140">
        <f>'[1]revenue receipt'!E39</f>
        <v>43461.52</v>
      </c>
      <c r="I23" s="140">
        <f>'[1]revenue receipt'!F39</f>
        <v>45724.65</v>
      </c>
      <c r="J23" s="140">
        <f>'[1]revenue receipt'!G39</f>
        <v>27143.68</v>
      </c>
      <c r="K23" s="140">
        <f>'[1]revenue receipt'!H39</f>
        <v>56950.78</v>
      </c>
      <c r="L23" s="140">
        <f>'[1]revenue receipt'!I39</f>
        <v>59528.76</v>
      </c>
      <c r="M23" s="140">
        <f>'[1]revenue receipt'!J39</f>
        <v>46163.53</v>
      </c>
      <c r="N23" s="140">
        <f>'[1]revenue receipt'!K39</f>
        <v>59550.41</v>
      </c>
      <c r="O23" s="140">
        <f>'[1]revenue receipt'!L39</f>
        <v>78652.02</v>
      </c>
      <c r="P23" s="140">
        <f>'[1]revenue receipt'!M39</f>
        <v>83272.490000000005</v>
      </c>
      <c r="Q23" s="140">
        <f>'[1]revenue receipt'!N39</f>
        <v>90237.98</v>
      </c>
    </row>
    <row r="24" spans="1:17" x14ac:dyDescent="0.3">
      <c r="A24" s="139" t="s">
        <v>4</v>
      </c>
      <c r="B24" s="139" t="s">
        <v>4</v>
      </c>
      <c r="C24" s="139" t="s">
        <v>407</v>
      </c>
      <c r="D24" s="139" t="s">
        <v>359</v>
      </c>
      <c r="E24" s="140">
        <f>'[1]revenue receipt'!B43</f>
        <v>90434.52</v>
      </c>
      <c r="F24" s="140">
        <f>'[1]revenue receipt'!C43</f>
        <v>89833.04</v>
      </c>
      <c r="G24" s="140">
        <f>'[1]revenue receipt'!D43</f>
        <v>112127.15</v>
      </c>
      <c r="H24" s="140">
        <f>'[1]revenue receipt'!E43</f>
        <v>123016.55</v>
      </c>
      <c r="I24" s="140">
        <f>'[1]revenue receipt'!F43</f>
        <v>91360.47</v>
      </c>
      <c r="J24" s="140">
        <f>'[1]revenue receipt'!G43</f>
        <v>113420.51</v>
      </c>
      <c r="K24" s="140">
        <f>'[1]revenue receipt'!H43</f>
        <v>186132.54</v>
      </c>
      <c r="L24" s="140">
        <f>'[1]revenue receipt'!I43</f>
        <v>96877.75</v>
      </c>
      <c r="M24" s="140">
        <f>'[1]revenue receipt'!J43</f>
        <v>160646.75</v>
      </c>
      <c r="N24" s="140">
        <f>'[1]revenue receipt'!K43</f>
        <v>99913.84</v>
      </c>
      <c r="O24" s="140">
        <f>'[1]revenue receipt'!L43</f>
        <v>170876.97</v>
      </c>
      <c r="P24" s="140">
        <f>'[1]revenue receipt'!M43</f>
        <v>289284.59999999998</v>
      </c>
      <c r="Q24" s="140">
        <f>'[1]revenue receipt'!N43</f>
        <v>325000</v>
      </c>
    </row>
    <row r="25" spans="1:17" x14ac:dyDescent="0.3">
      <c r="A25" s="139" t="s">
        <v>4</v>
      </c>
      <c r="B25" s="139" t="s">
        <v>4</v>
      </c>
      <c r="C25" s="139" t="s">
        <v>409</v>
      </c>
      <c r="D25" s="139" t="s">
        <v>410</v>
      </c>
      <c r="E25" s="140">
        <f>'[1]revenue receipt'!B44</f>
        <v>114891.32</v>
      </c>
      <c r="F25" s="140">
        <f>'[1]revenue receipt'!C44</f>
        <v>119752.71</v>
      </c>
      <c r="G25" s="140">
        <f>'[1]revenue receipt'!D44</f>
        <v>325544.88</v>
      </c>
      <c r="H25" s="140">
        <f>'[1]revenue receipt'!E44</f>
        <v>339477.74</v>
      </c>
      <c r="I25" s="140">
        <f>'[1]revenue receipt'!F44</f>
        <v>303837.40999999997</v>
      </c>
      <c r="J25" s="140">
        <f>'[1]revenue receipt'!G44</f>
        <v>345080.54</v>
      </c>
      <c r="K25" s="140">
        <f>'[1]revenue receipt'!H44</f>
        <v>344203.9</v>
      </c>
      <c r="L25" s="140">
        <f>'[1]revenue receipt'!I44</f>
        <v>273079.44</v>
      </c>
      <c r="M25" s="140">
        <f>'[1]revenue receipt'!J44</f>
        <v>417188.47</v>
      </c>
      <c r="N25" s="140">
        <f>'[1]revenue receipt'!K44</f>
        <v>445002.37</v>
      </c>
      <c r="O25" s="140">
        <f>'[1]revenue receipt'!L44</f>
        <v>499749.92</v>
      </c>
      <c r="P25" s="140">
        <f>'[1]revenue receipt'!M44</f>
        <v>544093.05000000005</v>
      </c>
      <c r="Q25" s="140">
        <f>'[1]revenue receipt'!N44</f>
        <v>568748.43999999994</v>
      </c>
    </row>
    <row r="26" spans="1:17" x14ac:dyDescent="0.3">
      <c r="A26" s="139" t="s">
        <v>4</v>
      </c>
      <c r="B26" s="139" t="s">
        <v>4</v>
      </c>
      <c r="C26" s="139" t="s">
        <v>409</v>
      </c>
      <c r="D26" s="139" t="s">
        <v>411</v>
      </c>
      <c r="E26" s="140">
        <f>'[1]revenue receipt'!B45</f>
        <v>28956.11</v>
      </c>
      <c r="F26" s="140">
        <f>'[1]revenue receipt'!C45</f>
        <v>35319.99</v>
      </c>
      <c r="G26" s="140">
        <f>'[1]revenue receipt'!D45</f>
        <v>35513.32</v>
      </c>
      <c r="H26" s="140">
        <f>'[1]revenue receipt'!E45</f>
        <v>40652.03</v>
      </c>
      <c r="I26" s="140">
        <f>'[1]revenue receipt'!F45</f>
        <v>42065.18</v>
      </c>
      <c r="J26" s="140">
        <f>'[1]revenue receipt'!G45</f>
        <v>47322.8</v>
      </c>
      <c r="K26" s="140">
        <f>'[1]revenue receipt'!H45</f>
        <v>45845.22</v>
      </c>
      <c r="L26" s="140">
        <f>'[1]revenue receipt'!I45</f>
        <v>39565.879999999997</v>
      </c>
      <c r="M26" s="140">
        <f>'[1]revenue receipt'!J45</f>
        <v>65742.45</v>
      </c>
      <c r="N26" s="140">
        <f>'[1]revenue receipt'!K45</f>
        <v>56303.68</v>
      </c>
      <c r="O26" s="140">
        <f>'[1]revenue receipt'!L45</f>
        <v>63297.87</v>
      </c>
      <c r="P26" s="140">
        <f>'[1]revenue receipt'!M45</f>
        <v>61367.9</v>
      </c>
      <c r="Q26" s="140">
        <f>'[1]revenue receipt'!N45</f>
        <v>72257.03</v>
      </c>
    </row>
    <row r="27" spans="1:17" x14ac:dyDescent="0.3">
      <c r="A27" s="139" t="s">
        <v>4</v>
      </c>
      <c r="B27" s="139" t="s">
        <v>4</v>
      </c>
      <c r="C27" s="139" t="s">
        <v>409</v>
      </c>
      <c r="D27" s="139" t="s">
        <v>412</v>
      </c>
      <c r="E27" s="140">
        <f>'[1]revenue receipt'!B61</f>
        <v>1263.8800000000001</v>
      </c>
      <c r="F27" s="140">
        <f>'[1]revenue receipt'!C61</f>
        <v>1674.87</v>
      </c>
      <c r="G27" s="140">
        <f>'[1]revenue receipt'!D61</f>
        <v>10015.1</v>
      </c>
      <c r="H27" s="140">
        <f>'[1]revenue receipt'!E61</f>
        <v>11928.15</v>
      </c>
      <c r="I27" s="140">
        <f>'[1]revenue receipt'!F61</f>
        <v>3008.13</v>
      </c>
      <c r="J27" s="140">
        <f>'[1]revenue receipt'!G61</f>
        <v>3079.9</v>
      </c>
      <c r="K27" s="140">
        <f>'[1]revenue receipt'!H61</f>
        <v>3404.2</v>
      </c>
      <c r="L27" s="140">
        <f>'[1]revenue receipt'!I61</f>
        <v>3790.65</v>
      </c>
      <c r="M27" s="140">
        <f>'[1]revenue receipt'!J61</f>
        <v>4761.09</v>
      </c>
      <c r="N27" s="140">
        <f>'[1]revenue receipt'!K61</f>
        <v>6887.94</v>
      </c>
      <c r="O27" s="140">
        <f>'[1]revenue receipt'!L61</f>
        <v>7669.8</v>
      </c>
      <c r="P27" s="140">
        <f>'[1]revenue receipt'!M61</f>
        <v>6426.34</v>
      </c>
      <c r="Q27" s="140">
        <f>'[1]revenue receipt'!N61</f>
        <v>11187.46</v>
      </c>
    </row>
    <row r="28" spans="1:17" x14ac:dyDescent="0.3">
      <c r="A28" s="139" t="s">
        <v>4</v>
      </c>
      <c r="B28" s="139" t="s">
        <v>4</v>
      </c>
      <c r="C28" s="139" t="s">
        <v>409</v>
      </c>
      <c r="D28" s="139" t="s">
        <v>413</v>
      </c>
      <c r="E28" s="140">
        <f>'[1]revenue receipt'!B73</f>
        <v>226411.08</v>
      </c>
      <c r="F28" s="140">
        <f>'[1]revenue receipt'!C73</f>
        <v>242412.84</v>
      </c>
      <c r="G28" s="140">
        <f>'[1]revenue receipt'!D73</f>
        <v>278478.19</v>
      </c>
      <c r="H28" s="140">
        <f>'[1]revenue receipt'!E73</f>
        <v>285093.53000000003</v>
      </c>
      <c r="I28" s="140">
        <f>'[1]revenue receipt'!F73</f>
        <v>256874.48</v>
      </c>
      <c r="J28" s="140">
        <f>'[1]revenue receipt'!G73</f>
        <v>292788.31</v>
      </c>
      <c r="K28" s="140">
        <f>'[1]revenue receipt'!H73</f>
        <v>293192.67</v>
      </c>
      <c r="L28" s="140">
        <f>'[1]revenue receipt'!I73</f>
        <v>228124.6</v>
      </c>
      <c r="M28" s="140">
        <f>'[1]revenue receipt'!J73</f>
        <v>344939.98</v>
      </c>
      <c r="N28" s="140">
        <f>'[1]revenue receipt'!K73</f>
        <v>379620.09</v>
      </c>
      <c r="O28" s="140">
        <f>'[1]revenue receipt'!L73</f>
        <v>425716.59</v>
      </c>
      <c r="P28" s="140">
        <f>'[1]revenue receipt'!M73</f>
        <v>473228.53</v>
      </c>
      <c r="Q28" s="140">
        <f>'[1]revenue receipt'!N73</f>
        <v>481884.77</v>
      </c>
    </row>
    <row r="29" spans="1:17" x14ac:dyDescent="0.3">
      <c r="A29" s="139" t="s">
        <v>4</v>
      </c>
      <c r="B29" s="139" t="s">
        <v>4</v>
      </c>
      <c r="C29" s="139" t="s">
        <v>409</v>
      </c>
      <c r="D29" s="139" t="s">
        <v>414</v>
      </c>
      <c r="E29" s="140">
        <f>'[1]revenue receipt'!B105</f>
        <v>10730.42</v>
      </c>
      <c r="F29" s="140">
        <f>'[1]revenue receipt'!C105</f>
        <v>11635.98</v>
      </c>
      <c r="G29" s="140">
        <f>'[1]revenue receipt'!D105</f>
        <v>12939.79</v>
      </c>
      <c r="H29" s="140">
        <f>'[1]revenue receipt'!E105</f>
        <v>11511</v>
      </c>
      <c r="I29" s="140">
        <f>'[1]revenue receipt'!F105</f>
        <v>12832.76</v>
      </c>
      <c r="J29" s="140">
        <f>'[1]revenue receipt'!G105</f>
        <v>13195.68</v>
      </c>
      <c r="K29" s="140">
        <f>'[1]revenue receipt'!H105</f>
        <v>13558.2</v>
      </c>
      <c r="L29" s="140">
        <f>'[1]revenue receipt'!I105</f>
        <v>10632.31</v>
      </c>
      <c r="M29" s="140">
        <f>'[1]revenue receipt'!J105</f>
        <v>10860.8</v>
      </c>
      <c r="N29" s="140">
        <f>'[1]revenue receipt'!K105</f>
        <v>10917.89</v>
      </c>
      <c r="O29" s="140">
        <f>'[1]revenue receipt'!L105</f>
        <v>11321.36</v>
      </c>
      <c r="P29" s="140">
        <f>'[1]revenue receipt'!M105</f>
        <v>12207.01</v>
      </c>
      <c r="Q29" s="140">
        <f>'[1]revenue receipt'!N105</f>
        <v>12487.11</v>
      </c>
    </row>
    <row r="30" spans="1:17" x14ac:dyDescent="0.3">
      <c r="A30" s="139" t="s">
        <v>4</v>
      </c>
      <c r="B30" s="139" t="s">
        <v>4</v>
      </c>
      <c r="C30" s="139" t="s">
        <v>409</v>
      </c>
      <c r="D30" s="139" t="s">
        <v>415</v>
      </c>
      <c r="E30" s="140">
        <f>'[1]revenue receipt'!B106</f>
        <v>40113.760000000002</v>
      </c>
      <c r="F30" s="140">
        <f>'[1]revenue receipt'!C106</f>
        <v>30624.18</v>
      </c>
      <c r="G30" s="140">
        <f>'[1]revenue receipt'!D106</f>
        <v>56478.61</v>
      </c>
      <c r="H30" s="140">
        <f>'[1]revenue receipt'!E106</f>
        <v>70241.14</v>
      </c>
      <c r="I30" s="140">
        <f>'[1]revenue receipt'!F106</f>
        <v>32065.9</v>
      </c>
      <c r="J30" s="140">
        <f>'[1]revenue receipt'!G106</f>
        <v>40815.730000000003</v>
      </c>
      <c r="K30" s="140">
        <f>'[1]revenue receipt'!H106</f>
        <v>69846.429999999993</v>
      </c>
      <c r="L30" s="140">
        <f>'[1]revenue receipt'!I106</f>
        <v>45500.65</v>
      </c>
      <c r="M30" s="140">
        <f>'[1]revenue receipt'!J106</f>
        <v>85828.07</v>
      </c>
      <c r="N30" s="140">
        <f>'[1]revenue receipt'!K106</f>
        <v>64835.17</v>
      </c>
      <c r="O30" s="140">
        <f>'[1]revenue receipt'!L106</f>
        <v>90659.26</v>
      </c>
      <c r="P30" s="140">
        <f>'[1]revenue receipt'!M106</f>
        <v>123357.2</v>
      </c>
      <c r="Q30" s="140">
        <f>'[1]revenue receipt'!N106</f>
        <v>82442.84</v>
      </c>
    </row>
    <row r="31" spans="1:17" x14ac:dyDescent="0.3">
      <c r="A31" s="139" t="s">
        <v>4</v>
      </c>
      <c r="B31" s="139" t="s">
        <v>4</v>
      </c>
      <c r="C31" s="139" t="s">
        <v>416</v>
      </c>
      <c r="D31" s="139" t="s">
        <v>417</v>
      </c>
      <c r="E31" s="140">
        <f>'[1]revenue receipt'!B116</f>
        <v>3618.06</v>
      </c>
      <c r="F31" s="140">
        <f>'[1]revenue receipt'!C116</f>
        <v>1599.88</v>
      </c>
      <c r="G31" s="140">
        <f>'[1]revenue receipt'!D116</f>
        <v>1881.23</v>
      </c>
      <c r="H31" s="140">
        <f>'[1]revenue receipt'!E116</f>
        <v>1299.5899999999999</v>
      </c>
      <c r="I31" s="140">
        <f>'[1]revenue receipt'!F116</f>
        <v>3582.2</v>
      </c>
      <c r="J31" s="140">
        <f>'[1]revenue receipt'!G116</f>
        <v>1063.19</v>
      </c>
      <c r="K31" s="140">
        <f>'[1]revenue receipt'!H116</f>
        <v>372.97</v>
      </c>
      <c r="L31" s="140">
        <f>'[1]revenue receipt'!I116</f>
        <v>1751.64</v>
      </c>
      <c r="M31" s="140">
        <f>'[1]revenue receipt'!J116</f>
        <v>1305.96</v>
      </c>
      <c r="N31" s="140">
        <f>'[1]revenue receipt'!K116</f>
        <v>1887.11</v>
      </c>
      <c r="O31" s="140">
        <f>'[1]revenue receipt'!L116</f>
        <v>1012.74</v>
      </c>
      <c r="P31" s="140">
        <f>'[1]revenue receipt'!M116</f>
        <v>1175.76</v>
      </c>
      <c r="Q31" s="140">
        <f>'[1]revenue receipt'!N116</f>
        <v>1174.53</v>
      </c>
    </row>
    <row r="32" spans="1:17" x14ac:dyDescent="0.3">
      <c r="A32" s="137" t="s">
        <v>19</v>
      </c>
      <c r="B32" s="137" t="s">
        <v>19</v>
      </c>
      <c r="C32" s="137" t="s">
        <v>382</v>
      </c>
      <c r="D32" s="137" t="s">
        <v>20</v>
      </c>
      <c r="E32" s="138">
        <f>'[1]revenue receipt'!B122</f>
        <v>1575096.57</v>
      </c>
      <c r="F32" s="138">
        <f>'[1]revenue receipt'!C122</f>
        <v>1695136.79</v>
      </c>
      <c r="G32" s="138">
        <f>'[1]revenue receipt'!D122</f>
        <v>1779528.81</v>
      </c>
      <c r="H32" s="138">
        <f>'[1]revenue receipt'!E122</f>
        <v>1933018.06</v>
      </c>
      <c r="I32" s="138">
        <f>'[1]revenue receipt'!F122</f>
        <v>2140084.5299999998</v>
      </c>
      <c r="J32" s="138">
        <f>'[1]revenue receipt'!G122</f>
        <v>2261570.81</v>
      </c>
      <c r="K32" s="138">
        <f>'[1]revenue receipt'!H122</f>
        <v>2615319.67</v>
      </c>
      <c r="L32" s="138">
        <f>'[1]revenue receipt'!I122</f>
        <v>3314851.92</v>
      </c>
      <c r="M32" s="138">
        <f>'[1]revenue receipt'!J122</f>
        <v>3468188.81</v>
      </c>
      <c r="N32" s="138">
        <f>'[1]revenue receipt'!K122</f>
        <v>3783698.51</v>
      </c>
      <c r="O32" s="138">
        <f>'[1]revenue receipt'!L122</f>
        <v>3854082.21</v>
      </c>
      <c r="P32" s="138">
        <f>'[1]revenue receipt'!M122</f>
        <v>4096607.07</v>
      </c>
      <c r="Q32" s="138">
        <f>'[1]revenue receipt'!N122</f>
        <v>4359702.41</v>
      </c>
    </row>
    <row r="33" spans="1:17" x14ac:dyDescent="0.3">
      <c r="A33" s="139" t="s">
        <v>19</v>
      </c>
      <c r="B33" s="139" t="s">
        <v>19</v>
      </c>
      <c r="C33" s="139" t="s">
        <v>418</v>
      </c>
      <c r="D33" s="139" t="s">
        <v>419</v>
      </c>
      <c r="E33" s="140">
        <f>'[1]revenue disbursements '!B3</f>
        <v>678742.7</v>
      </c>
      <c r="F33" s="140">
        <f>'[1]revenue disbursements '!C3</f>
        <v>751667.18</v>
      </c>
      <c r="G33" s="140">
        <f>'[1]revenue disbursements '!D3</f>
        <v>803420.84</v>
      </c>
      <c r="H33" s="140">
        <f>'[1]revenue disbursements '!E3</f>
        <v>924736.15</v>
      </c>
      <c r="I33" s="140">
        <f>'[1]revenue disbursements '!F3</f>
        <v>1008488.62</v>
      </c>
      <c r="J33" s="140">
        <f>'[1]revenue disbursements '!G3</f>
        <v>1100282.99</v>
      </c>
      <c r="K33" s="140">
        <f>'[1]revenue disbursements '!H3</f>
        <v>1210584.8400000001</v>
      </c>
      <c r="L33" s="140">
        <f>'[1]revenue disbursements '!I3</f>
        <v>1294769.24</v>
      </c>
      <c r="M33" s="140">
        <f>'[1]revenue disbursements '!J3</f>
        <v>1478491.06</v>
      </c>
      <c r="N33" s="140">
        <f>'[1]revenue disbursements '!K3</f>
        <v>1677865.95</v>
      </c>
      <c r="O33" s="140">
        <f>'[1]revenue disbursements '!L3</f>
        <v>1876063.41</v>
      </c>
      <c r="P33" s="140">
        <f>'[1]revenue disbursements '!M3</f>
        <v>2042886.1</v>
      </c>
      <c r="Q33" s="140">
        <f>'[1]revenue disbursements '!N3</f>
        <v>2182279.64</v>
      </c>
    </row>
    <row r="34" spans="1:17" x14ac:dyDescent="0.3">
      <c r="A34" s="139" t="s">
        <v>19</v>
      </c>
      <c r="B34" s="139" t="s">
        <v>19</v>
      </c>
      <c r="C34" s="139" t="s">
        <v>418</v>
      </c>
      <c r="D34" s="139" t="s">
        <v>420</v>
      </c>
      <c r="E34" s="140">
        <f>'[1]revenue disbursements '!B4</f>
        <v>5044.4799999999996</v>
      </c>
      <c r="F34" s="140">
        <f>'[1]revenue disbursements '!C4</f>
        <v>5213.82</v>
      </c>
      <c r="G34" s="140">
        <f>'[1]revenue disbursements '!D4</f>
        <v>7300.44</v>
      </c>
      <c r="H34" s="140">
        <f>'[1]revenue disbursements '!E4</f>
        <v>8664.35</v>
      </c>
      <c r="I34" s="140">
        <f>'[1]revenue disbursements '!F4</f>
        <v>7936.69</v>
      </c>
      <c r="J34" s="140">
        <f>'[1]revenue disbursements '!G4</f>
        <v>8538.68</v>
      </c>
      <c r="K34" s="140">
        <f>'[1]revenue disbursements '!H4</f>
        <v>9295.48</v>
      </c>
      <c r="L34" s="140">
        <f>'[1]revenue disbursements '!I4</f>
        <v>8008.86</v>
      </c>
      <c r="M34" s="140">
        <f>'[1]revenue disbursements '!J4</f>
        <v>10077.41</v>
      </c>
      <c r="N34" s="140">
        <f>'[1]revenue disbursements '!K4</f>
        <v>12280.97</v>
      </c>
      <c r="O34" s="140">
        <f>'[1]revenue disbursements '!L4</f>
        <v>13283.76</v>
      </c>
      <c r="P34" s="140">
        <f>'[1]revenue disbursements '!M4</f>
        <v>14107.08</v>
      </c>
      <c r="Q34" s="140">
        <f>'[1]revenue disbursements '!N4</f>
        <v>12737.04</v>
      </c>
    </row>
    <row r="35" spans="1:17" x14ac:dyDescent="0.3">
      <c r="A35" s="139" t="s">
        <v>19</v>
      </c>
      <c r="B35" s="139" t="s">
        <v>19</v>
      </c>
      <c r="C35" s="139" t="s">
        <v>418</v>
      </c>
      <c r="D35" s="139" t="s">
        <v>421</v>
      </c>
      <c r="E35" s="140">
        <f>'[1]revenue disbursements '!B11</f>
        <v>8464</v>
      </c>
      <c r="F35" s="140">
        <f>'[1]revenue disbursements '!C11</f>
        <v>9593.3799999999992</v>
      </c>
      <c r="G35" s="140">
        <f>'[1]revenue disbursements '!D11</f>
        <v>10648.57</v>
      </c>
      <c r="H35" s="140">
        <f>'[1]revenue disbursements '!E11</f>
        <v>13000.46</v>
      </c>
      <c r="I35" s="140">
        <f>'[1]revenue disbursements '!F11</f>
        <v>15361.52</v>
      </c>
      <c r="J35" s="140">
        <f>'[1]revenue disbursements '!G11</f>
        <v>16536.59</v>
      </c>
      <c r="K35" s="140">
        <f>'[1]revenue disbursements '!H11</f>
        <v>16834.72</v>
      </c>
      <c r="L35" s="140">
        <f>'[1]revenue disbursements '!I11</f>
        <v>17019.759999999998</v>
      </c>
      <c r="M35" s="140">
        <f>'[1]revenue disbursements '!J11</f>
        <v>67395.600000000006</v>
      </c>
      <c r="N35" s="140">
        <f>'[1]revenue disbursements '!K11</f>
        <v>45640.91</v>
      </c>
      <c r="O35" s="140">
        <f>'[1]revenue disbursements '!L11</f>
        <v>45881.599999999999</v>
      </c>
      <c r="P35" s="140">
        <f>'[1]revenue disbursements '!M11</f>
        <v>51775.99</v>
      </c>
      <c r="Q35" s="140">
        <f>'[1]revenue disbursements '!N11</f>
        <v>55177.64</v>
      </c>
    </row>
    <row r="36" spans="1:17" x14ac:dyDescent="0.3">
      <c r="A36" s="139" t="s">
        <v>19</v>
      </c>
      <c r="B36" s="139" t="s">
        <v>19</v>
      </c>
      <c r="C36" s="139" t="s">
        <v>418</v>
      </c>
      <c r="D36" s="139" t="s">
        <v>422</v>
      </c>
      <c r="E36" s="140">
        <f>'[1]revenue disbursements '!B20</f>
        <v>395199.59</v>
      </c>
      <c r="F36" s="140">
        <f>'[1]revenue disbursements '!C20</f>
        <v>425098.26</v>
      </c>
      <c r="G36" s="140">
        <f>'[1]revenue disbursements '!D20</f>
        <v>457270.38</v>
      </c>
      <c r="H36" s="140">
        <f>'[1]revenue disbursements '!E20</f>
        <v>504512.46</v>
      </c>
      <c r="I36" s="140">
        <f>'[1]revenue disbursements '!F20</f>
        <v>543707.26</v>
      </c>
      <c r="J36" s="140">
        <f>'[1]revenue disbursements '!G20</f>
        <v>595552.17000000004</v>
      </c>
      <c r="K36" s="140">
        <f>'[1]revenue disbursements '!H20</f>
        <v>655370.53</v>
      </c>
      <c r="L36" s="140">
        <f>'[1]revenue disbursements '!I20</f>
        <v>720983.93</v>
      </c>
      <c r="M36" s="140">
        <f>'[1]revenue disbursements '!J20</f>
        <v>828252.59</v>
      </c>
      <c r="N36" s="140">
        <f>'[1]revenue disbursements '!K20</f>
        <v>958715.21</v>
      </c>
      <c r="O36" s="140">
        <f>'[1]revenue disbursements '!L20</f>
        <v>1102650.18</v>
      </c>
      <c r="P36" s="140">
        <f>'[1]revenue disbursements '!M20</f>
        <v>1185170.92</v>
      </c>
      <c r="Q36" s="140">
        <f>'[1]revenue disbursements '!N20</f>
        <v>1315837.98</v>
      </c>
    </row>
    <row r="37" spans="1:17" x14ac:dyDescent="0.3">
      <c r="A37" s="139" t="s">
        <v>19</v>
      </c>
      <c r="B37" s="139" t="s">
        <v>19</v>
      </c>
      <c r="C37" s="139" t="s">
        <v>418</v>
      </c>
      <c r="D37" s="139" t="s">
        <v>252</v>
      </c>
      <c r="E37" s="140">
        <f>'[1]revenue disbursements '!B22</f>
        <v>394512.11</v>
      </c>
      <c r="F37" s="140">
        <f>'[1]revenue disbursements '!C22</f>
        <v>425098.26</v>
      </c>
      <c r="G37" s="140">
        <f>'[1]revenue disbursements '!D22</f>
        <v>457232.16</v>
      </c>
      <c r="H37" s="140">
        <f>'[1]revenue disbursements '!E22</f>
        <v>503919.04</v>
      </c>
      <c r="I37" s="140">
        <f>'[1]revenue disbursements '!F22</f>
        <v>543404.14</v>
      </c>
      <c r="J37" s="140">
        <f>'[1]revenue disbursements '!G22</f>
        <v>595530.23999999999</v>
      </c>
      <c r="K37" s="140">
        <f>'[1]revenue disbursements '!H22</f>
        <v>649879.87</v>
      </c>
      <c r="L37" s="140">
        <f>'[1]revenue disbursements '!I22</f>
        <v>711936.57</v>
      </c>
      <c r="M37" s="140">
        <f>'[1]revenue disbursements '!J22</f>
        <v>823011.28</v>
      </c>
      <c r="N37" s="140">
        <f>'[1]revenue disbursements '!K22</f>
        <v>957689.53</v>
      </c>
      <c r="O37" s="140">
        <f>'[1]revenue disbursements '!L22</f>
        <v>1101867.8799999999</v>
      </c>
      <c r="P37" s="140">
        <f>'[1]revenue disbursements '!M22</f>
        <v>1182510.33</v>
      </c>
      <c r="Q37" s="140">
        <f>'[1]revenue disbursements '!N22</f>
        <v>1313487.98</v>
      </c>
    </row>
    <row r="38" spans="1:17" x14ac:dyDescent="0.3">
      <c r="A38" s="139" t="s">
        <v>19</v>
      </c>
      <c r="B38" s="139" t="s">
        <v>19</v>
      </c>
      <c r="C38" s="139" t="s">
        <v>418</v>
      </c>
      <c r="D38" s="139" t="s">
        <v>423</v>
      </c>
      <c r="E38" s="140">
        <f>'[1]revenue disbursements '!B23</f>
        <v>52479.96</v>
      </c>
      <c r="F38" s="140">
        <f>'[1]revenue disbursements '!C23</f>
        <v>58552.91</v>
      </c>
      <c r="G38" s="140">
        <f>'[1]revenue disbursements '!D23</f>
        <v>65051.15</v>
      </c>
      <c r="H38" s="140">
        <f>'[1]revenue disbursements '!E23</f>
        <v>76186.880000000005</v>
      </c>
      <c r="I38" s="140">
        <f>'[1]revenue disbursements '!F23</f>
        <v>85190.03</v>
      </c>
      <c r="J38" s="140">
        <f>'[1]revenue disbursements '!G23</f>
        <v>98577.47</v>
      </c>
      <c r="K38" s="140">
        <f>'[1]revenue disbursements '!H23</f>
        <v>109586.86</v>
      </c>
      <c r="L38" s="140">
        <f>'[1]revenue disbursements '!I23</f>
        <v>105083.76</v>
      </c>
      <c r="M38" s="140">
        <f>'[1]revenue disbursements '!J23</f>
        <v>118244.14</v>
      </c>
      <c r="N38" s="140">
        <f>'[1]revenue disbursements '!K23</f>
        <v>130975.55</v>
      </c>
      <c r="O38" s="140">
        <f>'[1]revenue disbursements '!L23</f>
        <v>141804.85999999999</v>
      </c>
      <c r="P38" s="140">
        <f>'[1]revenue disbursements '!M23</f>
        <v>164840.57999999999</v>
      </c>
      <c r="Q38" s="140">
        <f>'[1]revenue disbursements '!N23</f>
        <v>170552.75</v>
      </c>
    </row>
    <row r="39" spans="1:17" x14ac:dyDescent="0.3">
      <c r="A39" s="139" t="s">
        <v>19</v>
      </c>
      <c r="B39" s="139" t="s">
        <v>19</v>
      </c>
      <c r="C39" s="139" t="s">
        <v>418</v>
      </c>
      <c r="D39" s="139" t="s">
        <v>58</v>
      </c>
      <c r="E39" s="140">
        <f>'[1]revenue disbursements '!B26</f>
        <v>42994.76</v>
      </c>
      <c r="F39" s="140">
        <f>'[1]revenue disbursements '!C26</f>
        <v>47943.3</v>
      </c>
      <c r="G39" s="140">
        <f>'[1]revenue disbursements '!D26</f>
        <v>53015.02</v>
      </c>
      <c r="H39" s="140">
        <f>'[1]revenue disbursements '!E26</f>
        <v>62732.88</v>
      </c>
      <c r="I39" s="140">
        <f>'[1]revenue disbursements '!F26</f>
        <v>69472.600000000006</v>
      </c>
      <c r="J39" s="140">
        <f>'[1]revenue disbursements '!G26</f>
        <v>80406.350000000006</v>
      </c>
      <c r="K39" s="140">
        <f>'[1]revenue disbursements '!H26</f>
        <v>89866.55</v>
      </c>
      <c r="L39" s="140">
        <f>'[1]revenue disbursements '!I26</f>
        <v>86793.01</v>
      </c>
      <c r="M39" s="140">
        <f>'[1]revenue disbursements '!J26</f>
        <v>98283.92</v>
      </c>
      <c r="N39" s="140">
        <f>'[1]revenue disbursements '!K26</f>
        <v>107186.53</v>
      </c>
      <c r="O39" s="140">
        <f>'[1]revenue disbursements '!L26</f>
        <v>115392.83</v>
      </c>
      <c r="P39" s="140">
        <f>'[1]revenue disbursements '!M26</f>
        <v>136306.43</v>
      </c>
      <c r="Q39" s="140">
        <f>'[1]revenue disbursements '!N26</f>
        <v>141879.63</v>
      </c>
    </row>
    <row r="40" spans="1:17" x14ac:dyDescent="0.3">
      <c r="A40" s="139" t="s">
        <v>19</v>
      </c>
      <c r="B40" s="139" t="s">
        <v>19</v>
      </c>
      <c r="C40" s="139" t="s">
        <v>418</v>
      </c>
      <c r="D40" s="139" t="s">
        <v>424</v>
      </c>
      <c r="E40" s="140">
        <f>'[1]revenue disbursements '!B34</f>
        <v>87551.62</v>
      </c>
      <c r="F40" s="140">
        <f>'[1]revenue disbursements '!C34</f>
        <v>107910.62</v>
      </c>
      <c r="G40" s="140">
        <f>'[1]revenue disbursements '!D34</f>
        <v>111285.34</v>
      </c>
      <c r="H40" s="140">
        <f>'[1]revenue disbursements '!E34</f>
        <v>149236.97</v>
      </c>
      <c r="I40" s="140">
        <f>'[1]revenue disbursements '!F34</f>
        <v>163195.74</v>
      </c>
      <c r="J40" s="140">
        <f>'[1]revenue disbursements '!G34</f>
        <v>176909.73</v>
      </c>
      <c r="K40" s="140">
        <f>'[1]revenue disbursements '!H34</f>
        <v>203877.44</v>
      </c>
      <c r="L40" s="140">
        <f>'[1]revenue disbursements '!I34</f>
        <v>227572.6</v>
      </c>
      <c r="M40" s="140">
        <f>'[1]revenue disbursements '!J34</f>
        <v>218981.69</v>
      </c>
      <c r="N40" s="140">
        <f>'[1]revenue disbursements '!K34</f>
        <v>265359.82</v>
      </c>
      <c r="O40" s="140">
        <f>'[1]revenue disbursements '!L34</f>
        <v>273542.40999999997</v>
      </c>
      <c r="P40" s="140">
        <f>'[1]revenue disbursements '!M34</f>
        <v>320886.63</v>
      </c>
      <c r="Q40" s="140">
        <f>'[1]revenue disbursements '!N34</f>
        <v>308118.68</v>
      </c>
    </row>
    <row r="41" spans="1:17" x14ac:dyDescent="0.3">
      <c r="A41" s="139" t="s">
        <v>19</v>
      </c>
      <c r="B41" s="139" t="s">
        <v>19</v>
      </c>
      <c r="C41" s="139" t="s">
        <v>418</v>
      </c>
      <c r="D41" s="139" t="s">
        <v>425</v>
      </c>
      <c r="E41" s="140">
        <f>'[1]revenue disbursements '!B35</f>
        <v>74896.19</v>
      </c>
      <c r="F41" s="140">
        <f>'[1]revenue disbursements '!C35</f>
        <v>93610.72</v>
      </c>
      <c r="G41" s="140">
        <f>'[1]revenue disbursements '!D35</f>
        <v>96770.94</v>
      </c>
      <c r="H41" s="140">
        <f>'[1]revenue disbursements '!E35</f>
        <v>131400.85</v>
      </c>
      <c r="I41" s="140">
        <f>'[1]revenue disbursements '!F35</f>
        <v>145745.07</v>
      </c>
      <c r="J41" s="140">
        <f>'[1]revenue disbursements '!G35</f>
        <v>160211.49</v>
      </c>
      <c r="K41" s="140">
        <f>'[1]revenue disbursements '!H35</f>
        <v>183954.61</v>
      </c>
      <c r="L41" s="140">
        <f>'[1]revenue disbursements '!I35</f>
        <v>208473.04</v>
      </c>
      <c r="M41" s="140">
        <f>'[1]revenue disbursements '!J35</f>
        <v>198946.1</v>
      </c>
      <c r="N41" s="140">
        <f>'[1]revenue disbursements '!K35</f>
        <v>241599.29</v>
      </c>
      <c r="O41" s="140">
        <f>'[1]revenue disbursements '!L35</f>
        <v>238328.29</v>
      </c>
      <c r="P41" s="140">
        <f>'[1]revenue disbursements '!M35</f>
        <v>276102.90000000002</v>
      </c>
      <c r="Q41" s="140">
        <f>'[1]revenue disbursements '!N35</f>
        <v>277618.32</v>
      </c>
    </row>
    <row r="42" spans="1:17" x14ac:dyDescent="0.3">
      <c r="A42" s="139" t="s">
        <v>19</v>
      </c>
      <c r="B42" s="139" t="s">
        <v>19</v>
      </c>
      <c r="C42" s="139" t="s">
        <v>426</v>
      </c>
      <c r="D42" s="139" t="s">
        <v>427</v>
      </c>
      <c r="E42" s="140">
        <f>'[1]revenue disbursements '!B37</f>
        <v>129890.21</v>
      </c>
      <c r="F42" s="140">
        <f>'[1]revenue disbursements '!C37</f>
        <v>145145.95000000001</v>
      </c>
      <c r="G42" s="140">
        <f>'[1]revenue disbursements '!D37</f>
        <v>151599.47</v>
      </c>
      <c r="H42" s="140">
        <f>'[1]revenue disbursements '!E37</f>
        <v>173025.04</v>
      </c>
      <c r="I42" s="140">
        <f>'[1]revenue disbursements '!F37</f>
        <v>192865.24</v>
      </c>
      <c r="J42" s="140">
        <f>'[1]revenue disbursements '!G37</f>
        <v>203882.56</v>
      </c>
      <c r="K42" s="140">
        <f>'[1]revenue disbursements '!H37</f>
        <v>215297.28</v>
      </c>
      <c r="L42" s="140">
        <f>'[1]revenue disbursements '!I37</f>
        <v>215513.72</v>
      </c>
      <c r="M42" s="140">
        <f>'[1]revenue disbursements '!J37</f>
        <v>234955.86</v>
      </c>
      <c r="N42" s="140">
        <f>'[1]revenue disbursements '!K37</f>
        <v>264232.90999999997</v>
      </c>
      <c r="O42" s="140">
        <f>'[1]revenue disbursements '!L37</f>
        <v>297738.46999999997</v>
      </c>
      <c r="P42" s="140">
        <f>'[1]revenue disbursements '!M37</f>
        <v>304863.40999999997</v>
      </c>
      <c r="Q42" s="140">
        <f>'[1]revenue disbursements '!N37</f>
        <v>318723.58</v>
      </c>
    </row>
    <row r="43" spans="1:17" x14ac:dyDescent="0.3">
      <c r="A43" s="139" t="s">
        <v>19</v>
      </c>
      <c r="B43" s="139" t="s">
        <v>19</v>
      </c>
      <c r="C43" s="139" t="s">
        <v>426</v>
      </c>
      <c r="D43" s="139" t="s">
        <v>428</v>
      </c>
      <c r="E43" s="140">
        <f>'[1]revenue disbursements '!B38</f>
        <v>87750.54</v>
      </c>
      <c r="F43" s="140">
        <f>'[1]revenue disbursements '!C38</f>
        <v>99321.39</v>
      </c>
      <c r="G43" s="140">
        <f>'[1]revenue disbursements '!D38</f>
        <v>105994.58</v>
      </c>
      <c r="H43" s="140">
        <f>'[1]revenue disbursements '!E38</f>
        <v>120374.48</v>
      </c>
      <c r="I43" s="140">
        <f>'[1]revenue disbursements '!F38</f>
        <v>135362.35999999999</v>
      </c>
      <c r="J43" s="140">
        <f>'[1]revenue disbursements '!G38</f>
        <v>141829.60999999999</v>
      </c>
      <c r="K43" s="140">
        <f>'[1]revenue disbursements '!H38</f>
        <v>146821.92000000001</v>
      </c>
      <c r="L43" s="140">
        <f>'[1]revenue disbursements '!I38</f>
        <v>145181.03</v>
      </c>
      <c r="M43" s="140">
        <f>'[1]revenue disbursements '!J38</f>
        <v>161728.26999999999</v>
      </c>
      <c r="N43" s="140">
        <f>'[1]revenue disbursements '!K38</f>
        <v>175666.05</v>
      </c>
      <c r="O43" s="140">
        <f>'[1]revenue disbursements '!L38</f>
        <v>197020.12</v>
      </c>
      <c r="P43" s="140">
        <f>'[1]revenue disbursements '!M38</f>
        <v>204628.97</v>
      </c>
      <c r="Q43" s="140">
        <f>'[1]revenue disbursements '!N38</f>
        <v>212030.78</v>
      </c>
    </row>
    <row r="44" spans="1:17" x14ac:dyDescent="0.3">
      <c r="A44" s="139" t="s">
        <v>19</v>
      </c>
      <c r="B44" s="139" t="s">
        <v>19</v>
      </c>
      <c r="C44" s="139" t="s">
        <v>426</v>
      </c>
      <c r="D44" s="139" t="s">
        <v>429</v>
      </c>
      <c r="E44" s="140">
        <f>'[1]revenue disbursements '!B39</f>
        <v>13472.26</v>
      </c>
      <c r="F44" s="140">
        <f>'[1]revenue disbursements '!C39</f>
        <v>14352</v>
      </c>
      <c r="G44" s="140">
        <f>'[1]revenue disbursements '!D39</f>
        <v>15320.81</v>
      </c>
      <c r="H44" s="140">
        <f>'[1]revenue disbursements '!E39</f>
        <v>17469.27</v>
      </c>
      <c r="I44" s="140">
        <f>'[1]revenue disbursements '!F39</f>
        <v>19344.87</v>
      </c>
      <c r="J44" s="140">
        <f>'[1]revenue disbursements '!G39</f>
        <v>21738.880000000001</v>
      </c>
      <c r="K44" s="140">
        <f>'[1]revenue disbursements '!H39</f>
        <v>23087.69</v>
      </c>
      <c r="L44" s="140">
        <f>'[1]revenue disbursements '!I39</f>
        <v>24710.34</v>
      </c>
      <c r="M44" s="140">
        <f>'[1]revenue disbursements '!J39</f>
        <v>24426.52</v>
      </c>
      <c r="N44" s="140">
        <f>'[1]revenue disbursements '!K39</f>
        <v>31343.599999999999</v>
      </c>
      <c r="O44" s="140">
        <f>'[1]revenue disbursements '!L39</f>
        <v>35147.800000000003</v>
      </c>
      <c r="P44" s="140">
        <f>'[1]revenue disbursements '!M39</f>
        <v>36557.31</v>
      </c>
      <c r="Q44" s="140">
        <f>'[1]revenue disbursements '!N39</f>
        <v>39019.800000000003</v>
      </c>
    </row>
    <row r="45" spans="1:17" x14ac:dyDescent="0.3">
      <c r="A45" s="139" t="s">
        <v>19</v>
      </c>
      <c r="B45" s="139" t="s">
        <v>19</v>
      </c>
      <c r="C45" s="139" t="s">
        <v>426</v>
      </c>
      <c r="D45" s="139" t="s">
        <v>430</v>
      </c>
      <c r="E45" s="140">
        <f>'[1]revenue disbursements '!B40</f>
        <v>20160.27</v>
      </c>
      <c r="F45" s="140">
        <f>'[1]revenue disbursements '!C40</f>
        <v>22685.3</v>
      </c>
      <c r="G45" s="140">
        <f>'[1]revenue disbursements '!D40</f>
        <v>21848.9</v>
      </c>
      <c r="H45" s="140">
        <f>'[1]revenue disbursements '!E40</f>
        <v>25228.14</v>
      </c>
      <c r="I45" s="140">
        <f>'[1]revenue disbursements '!F40</f>
        <v>28418.799999999999</v>
      </c>
      <c r="J45" s="140">
        <f>'[1]revenue disbursements '!G40</f>
        <v>29370.54</v>
      </c>
      <c r="K45" s="140">
        <f>'[1]revenue disbursements '!H40</f>
        <v>31528.49</v>
      </c>
      <c r="L45" s="140">
        <f>'[1]revenue disbursements '!I40</f>
        <v>34615.96</v>
      </c>
      <c r="M45" s="140">
        <f>'[1]revenue disbursements '!J40</f>
        <v>35687.93</v>
      </c>
      <c r="N45" s="140">
        <f>'[1]revenue disbursements '!K40</f>
        <v>47455.55</v>
      </c>
      <c r="O45" s="140">
        <f>'[1]revenue disbursements '!L40</f>
        <v>54742.33</v>
      </c>
      <c r="P45" s="140">
        <f>'[1]revenue disbursements '!M40</f>
        <v>51876.77</v>
      </c>
      <c r="Q45" s="140">
        <f>'[1]revenue disbursements '!N40</f>
        <v>55000</v>
      </c>
    </row>
    <row r="46" spans="1:17" x14ac:dyDescent="0.3">
      <c r="A46" s="139" t="s">
        <v>19</v>
      </c>
      <c r="B46" s="139" t="s">
        <v>19</v>
      </c>
      <c r="C46" s="139" t="s">
        <v>426</v>
      </c>
      <c r="D46" s="139" t="s">
        <v>431</v>
      </c>
      <c r="E46" s="140">
        <f>'[1]revenue disbursements '!B42</f>
        <v>5696.32</v>
      </c>
      <c r="F46" s="140">
        <f>'[1]revenue disbursements '!C42</f>
        <v>6237.08</v>
      </c>
      <c r="G46" s="140">
        <f>'[1]revenue disbursements '!D42</f>
        <v>6183.9</v>
      </c>
      <c r="H46" s="140">
        <f>'[1]revenue disbursements '!E42</f>
        <v>6963.69</v>
      </c>
      <c r="I46" s="140">
        <f>'[1]revenue disbursements '!F42</f>
        <v>8033.79</v>
      </c>
      <c r="J46" s="140">
        <f>'[1]revenue disbursements '!G42</f>
        <v>8431.44</v>
      </c>
      <c r="K46" s="140">
        <f>'[1]revenue disbursements '!H42</f>
        <v>9086.14</v>
      </c>
      <c r="L46" s="140">
        <f>'[1]revenue disbursements '!I42</f>
        <v>8350.77</v>
      </c>
      <c r="M46" s="140">
        <f>'[1]revenue disbursements '!J42</f>
        <v>8406.2199999999993</v>
      </c>
      <c r="N46" s="140">
        <f>'[1]revenue disbursements '!K42</f>
        <v>9407.7900000000009</v>
      </c>
      <c r="O46" s="140">
        <f>'[1]revenue disbursements '!L42</f>
        <v>10427.48</v>
      </c>
      <c r="P46" s="140">
        <f>'[1]revenue disbursements '!M42</f>
        <v>11330.01</v>
      </c>
      <c r="Q46" s="140">
        <f>'[1]revenue disbursements '!N42</f>
        <v>12193</v>
      </c>
    </row>
    <row r="47" spans="1:17" x14ac:dyDescent="0.3">
      <c r="A47" s="137" t="s">
        <v>21</v>
      </c>
      <c r="B47" s="137" t="s">
        <v>21</v>
      </c>
      <c r="C47" s="137" t="s">
        <v>382</v>
      </c>
      <c r="D47" s="137" t="s">
        <v>22</v>
      </c>
      <c r="E47" s="138">
        <f>'[1]capital receipt'!B32</f>
        <v>4048883.11</v>
      </c>
      <c r="F47" s="138">
        <f>'[1]capital receipt'!C32</f>
        <v>4282482.8499999996</v>
      </c>
      <c r="G47" s="138">
        <f>'[1]capital receipt'!D32</f>
        <v>4400951.21</v>
      </c>
      <c r="H47" s="138">
        <f>'[1]capital receipt'!E32</f>
        <v>6222850.2400000002</v>
      </c>
      <c r="I47" s="138">
        <f>'[1]capital receipt'!F32</f>
        <v>6724689.1799999997</v>
      </c>
      <c r="J47" s="138">
        <f>'[1]capital receipt'!G32</f>
        <v>6883718.3899999997</v>
      </c>
      <c r="K47" s="138">
        <f>'[1]capital receipt'!H32</f>
        <v>7370383.4699999997</v>
      </c>
      <c r="L47" s="138">
        <f>'[1]capital receipt'!I32</f>
        <v>8230730.0800000001</v>
      </c>
      <c r="M47" s="138">
        <f>'[1]capital receipt'!J32</f>
        <v>8288737.9699999997</v>
      </c>
      <c r="N47" s="138">
        <f>'[1]capital receipt'!K32</f>
        <v>8947200.1400000006</v>
      </c>
      <c r="O47" s="138">
        <f>'[1]capital receipt'!L32</f>
        <v>9322304.1799999997</v>
      </c>
      <c r="P47" s="138">
        <f>'[1]capital receipt'!M32</f>
        <v>9929531.8800000008</v>
      </c>
      <c r="Q47" s="138">
        <f>'[1]capital receipt'!N32</f>
        <v>10760098.77</v>
      </c>
    </row>
    <row r="48" spans="1:17" x14ac:dyDescent="0.3">
      <c r="A48" s="139" t="s">
        <v>21</v>
      </c>
      <c r="B48" s="139" t="s">
        <v>21</v>
      </c>
      <c r="C48" s="139" t="s">
        <v>432</v>
      </c>
      <c r="D48" s="139" t="s">
        <v>433</v>
      </c>
      <c r="E48" s="140">
        <f>'[1]capital receipt'!B22</f>
        <v>3994966.22</v>
      </c>
      <c r="F48" s="140">
        <f>'[1]capital receipt'!C22</f>
        <v>4218196.3</v>
      </c>
      <c r="G48" s="140">
        <f>'[1]capital receipt'!D22</f>
        <v>4316949.72</v>
      </c>
      <c r="H48" s="140">
        <f>'[1]capital receipt'!E22</f>
        <v>6134136.5899999999</v>
      </c>
      <c r="I48" s="140">
        <f>'[1]capital receipt'!F22</f>
        <v>6554001.5700000003</v>
      </c>
      <c r="J48" s="140">
        <f>'[1]capital receipt'!G22</f>
        <v>6758482.4000000004</v>
      </c>
      <c r="K48" s="140">
        <f>'[1]capital receipt'!H22</f>
        <v>7301387</v>
      </c>
      <c r="L48" s="140">
        <f>'[1]capital receipt'!I22</f>
        <v>8162909.96</v>
      </c>
      <c r="M48" s="140">
        <f>'[1]capital receipt'!J22</f>
        <v>8249151.6500000004</v>
      </c>
      <c r="N48" s="140">
        <f>'[1]capital receipt'!K22</f>
        <v>8864892.5999999996</v>
      </c>
      <c r="O48" s="140">
        <f>'[1]capital receipt'!L22</f>
        <v>9160049.8800000008</v>
      </c>
      <c r="P48" s="140">
        <f>'[1]capital receipt'!M22</f>
        <v>9693665.4399999995</v>
      </c>
      <c r="Q48" s="140">
        <f>'[1]capital receipt'!N22</f>
        <v>10566348.76</v>
      </c>
    </row>
    <row r="49" spans="1:17" x14ac:dyDescent="0.3">
      <c r="A49" s="139" t="s">
        <v>21</v>
      </c>
      <c r="B49" s="139" t="s">
        <v>21</v>
      </c>
      <c r="C49" s="139" t="s">
        <v>434</v>
      </c>
      <c r="D49" s="139" t="s">
        <v>435</v>
      </c>
      <c r="E49" s="140">
        <f>'[1]capital receipt'!B20</f>
        <v>3969549.99</v>
      </c>
      <c r="F49" s="140">
        <f>'[1]capital receipt'!C20</f>
        <v>4184662.41</v>
      </c>
      <c r="G49" s="140">
        <f>'[1]capital receipt'!D20</f>
        <v>4280896</v>
      </c>
      <c r="H49" s="140">
        <f>'[1]capital receipt'!E20</f>
        <v>6089945.0999999996</v>
      </c>
      <c r="I49" s="140">
        <f>'[1]capital receipt'!F20</f>
        <v>6505484.8300000001</v>
      </c>
      <c r="J49" s="140">
        <f>'[1]capital receipt'!G20</f>
        <v>6707872.96</v>
      </c>
      <c r="K49" s="140">
        <f>'[1]capital receipt'!H20</f>
        <v>7238206.7000000002</v>
      </c>
      <c r="L49" s="140">
        <f>'[1]capital receipt'!I20</f>
        <v>8038972.3899999997</v>
      </c>
      <c r="M49" s="140">
        <f>'[1]capital receipt'!J20</f>
        <v>8162487.0800000001</v>
      </c>
      <c r="N49" s="140">
        <f>'[1]capital receipt'!K20</f>
        <v>8771161.3200000003</v>
      </c>
      <c r="O49" s="140">
        <f>'[1]capital receipt'!L20</f>
        <v>9039620.6799999997</v>
      </c>
      <c r="P49" s="140">
        <f>'[1]capital receipt'!M20</f>
        <v>9585953.9100000001</v>
      </c>
      <c r="Q49" s="140">
        <f>'[1]capital receipt'!N20</f>
        <v>10455335.4</v>
      </c>
    </row>
    <row r="50" spans="1:17" x14ac:dyDescent="0.3">
      <c r="A50" s="139" t="s">
        <v>21</v>
      </c>
      <c r="B50" s="139" t="s">
        <v>21</v>
      </c>
      <c r="C50" s="139" t="s">
        <v>434</v>
      </c>
      <c r="D50" s="139" t="s">
        <v>212</v>
      </c>
      <c r="E50" s="140">
        <f>'[1]capital receipt'!B7</f>
        <v>563674.67000000004</v>
      </c>
      <c r="F50" s="140">
        <f>'[1]capital receipt'!C7</f>
        <v>592000</v>
      </c>
      <c r="G50" s="140">
        <f>'[1]capital receipt'!D7</f>
        <v>585000</v>
      </c>
      <c r="H50" s="140">
        <f>'[1]capital receipt'!E7</f>
        <v>583045</v>
      </c>
      <c r="I50" s="140">
        <f>'[1]capital receipt'!F7</f>
        <v>588000</v>
      </c>
      <c r="J50" s="140">
        <f>'[1]capital receipt'!G7</f>
        <v>571000</v>
      </c>
      <c r="K50" s="140">
        <f>'[1]capital receipt'!H7</f>
        <v>710000</v>
      </c>
      <c r="L50" s="140">
        <f>'[1]capital receipt'!I7</f>
        <v>1260115.73</v>
      </c>
      <c r="M50" s="140">
        <f>'[1]capital receipt'!J7</f>
        <v>968381.54</v>
      </c>
      <c r="N50" s="140">
        <f>'[1]capital receipt'!K7</f>
        <v>1421000</v>
      </c>
      <c r="O50" s="140">
        <f>'[1]capital receipt'!L7</f>
        <v>1543000</v>
      </c>
      <c r="P50" s="140">
        <f>'[1]capital receipt'!M7</f>
        <v>1400697.4</v>
      </c>
      <c r="Q50" s="140">
        <f>'[1]capital receipt'!N7</f>
        <v>1482000</v>
      </c>
    </row>
    <row r="51" spans="1:17" x14ac:dyDescent="0.3">
      <c r="A51" s="139" t="s">
        <v>21</v>
      </c>
      <c r="B51" s="139" t="s">
        <v>21</v>
      </c>
      <c r="C51" s="139" t="s">
        <v>434</v>
      </c>
      <c r="D51" s="139" t="s">
        <v>214</v>
      </c>
      <c r="E51" s="140">
        <f>'[1]capital receipt'!B9</f>
        <v>2151859.5299999998</v>
      </c>
      <c r="F51" s="140">
        <f>'[1]capital receipt'!C9</f>
        <v>2216124.48</v>
      </c>
      <c r="G51" s="140">
        <f>'[1]capital receipt'!D9</f>
        <v>2449918.9700000002</v>
      </c>
      <c r="H51" s="140">
        <f>'[1]capital receipt'!E9</f>
        <v>3216118.41</v>
      </c>
      <c r="I51" s="140">
        <f>'[1]capital receipt'!F9</f>
        <v>3790637.92</v>
      </c>
      <c r="J51" s="140">
        <f>'[1]capital receipt'!G9</f>
        <v>3570681.38</v>
      </c>
      <c r="K51" s="140">
        <f>'[1]capital receipt'!H9</f>
        <v>3355188.43</v>
      </c>
      <c r="L51" s="140">
        <f>'[1]capital receipt'!I9</f>
        <v>3745789.93</v>
      </c>
      <c r="M51" s="140">
        <f>'[1]capital receipt'!J9</f>
        <v>4432508.1399999997</v>
      </c>
      <c r="N51" s="140">
        <f>'[1]capital receipt'!K9</f>
        <v>4868275.3</v>
      </c>
      <c r="O51" s="140">
        <f>'[1]capital receipt'!L9</f>
        <v>4838804.58</v>
      </c>
      <c r="P51" s="140">
        <f>'[1]capital receipt'!M9</f>
        <v>5719741.7599999998</v>
      </c>
      <c r="Q51" s="140">
        <f>'[1]capital receipt'!N9</f>
        <v>6030452.6500000004</v>
      </c>
    </row>
    <row r="52" spans="1:17" x14ac:dyDescent="0.3">
      <c r="A52" s="139" t="s">
        <v>21</v>
      </c>
      <c r="B52" s="139" t="s">
        <v>21</v>
      </c>
      <c r="C52" s="139" t="s">
        <v>434</v>
      </c>
      <c r="D52" s="139" t="s">
        <v>215</v>
      </c>
      <c r="E52" s="140">
        <f>'[1]capital receipt'!B10</f>
        <v>580087.59</v>
      </c>
      <c r="F52" s="140">
        <f>'[1]capital receipt'!C10</f>
        <v>670312.98</v>
      </c>
      <c r="G52" s="140">
        <f>'[1]capital receipt'!D10</f>
        <v>686666.71</v>
      </c>
      <c r="H52" s="140">
        <f>'[1]capital receipt'!E10</f>
        <v>664567.49</v>
      </c>
      <c r="I52" s="140">
        <f>'[1]capital receipt'!F10</f>
        <v>774059.95</v>
      </c>
      <c r="J52" s="140">
        <f>'[1]capital receipt'!G10</f>
        <v>660165.24</v>
      </c>
      <c r="K52" s="140">
        <f>'[1]capital receipt'!H10</f>
        <v>639472.68000000005</v>
      </c>
      <c r="L52" s="140">
        <f>'[1]capital receipt'!I10</f>
        <v>743488.03</v>
      </c>
      <c r="M52" s="140">
        <f>'[1]capital receipt'!J10</f>
        <v>847904.18</v>
      </c>
      <c r="N52" s="140">
        <f>'[1]capital receipt'!K10</f>
        <v>715950.53</v>
      </c>
      <c r="O52" s="140">
        <f>'[1]capital receipt'!L10</f>
        <v>644427.47</v>
      </c>
      <c r="P52" s="140">
        <f>'[1]capital receipt'!M10</f>
        <v>747644.75</v>
      </c>
      <c r="Q52" s="140">
        <f>'[1]capital receipt'!N10</f>
        <v>606191.25</v>
      </c>
    </row>
    <row r="53" spans="1:17" x14ac:dyDescent="0.3">
      <c r="A53" s="139" t="s">
        <v>21</v>
      </c>
      <c r="B53" s="139" t="s">
        <v>21</v>
      </c>
      <c r="C53" s="139" t="s">
        <v>434</v>
      </c>
      <c r="D53" s="139" t="s">
        <v>216</v>
      </c>
      <c r="E53" s="140">
        <f>'[1]capital receipt'!B11</f>
        <v>137520.26</v>
      </c>
      <c r="F53" s="140">
        <f>'[1]capital receipt'!C11</f>
        <v>147608.18</v>
      </c>
      <c r="G53" s="140">
        <f>'[1]capital receipt'!D11</f>
        <v>162188.60999999999</v>
      </c>
      <c r="H53" s="140">
        <f>'[1]capital receipt'!E11</f>
        <v>174035.07</v>
      </c>
      <c r="I53" s="140">
        <f>'[1]capital receipt'!F11</f>
        <v>185416.61</v>
      </c>
      <c r="J53" s="140">
        <f>'[1]capital receipt'!G11</f>
        <v>258020.06</v>
      </c>
      <c r="K53" s="140">
        <f>'[1]capital receipt'!H11</f>
        <v>321689.3</v>
      </c>
      <c r="L53" s="140">
        <f>'[1]capital receipt'!I11</f>
        <v>488606.87</v>
      </c>
      <c r="M53" s="140">
        <f>'[1]capital receipt'!J11</f>
        <v>465678.81</v>
      </c>
      <c r="N53" s="140">
        <f>'[1]capital receipt'!K11</f>
        <v>549240.87</v>
      </c>
      <c r="O53" s="140">
        <f>'[1]capital receipt'!L11</f>
        <v>571191.61</v>
      </c>
      <c r="P53" s="140">
        <f>'[1]capital receipt'!M11</f>
        <v>394007.06</v>
      </c>
      <c r="Q53" s="140">
        <f>'[1]capital receipt'!N11</f>
        <v>484082.34</v>
      </c>
    </row>
    <row r="54" spans="1:17" x14ac:dyDescent="0.3">
      <c r="A54" s="139" t="s">
        <v>21</v>
      </c>
      <c r="B54" s="139" t="s">
        <v>21</v>
      </c>
      <c r="C54" s="139" t="s">
        <v>434</v>
      </c>
      <c r="D54" s="139" t="s">
        <v>217</v>
      </c>
      <c r="E54" s="140">
        <f>'[1]capital receipt'!B12</f>
        <v>136956.26</v>
      </c>
      <c r="F54" s="140">
        <f>'[1]capital receipt'!C12</f>
        <v>149200.68</v>
      </c>
      <c r="G54" s="140">
        <f>'[1]capital receipt'!D12</f>
        <v>154033.20000000001</v>
      </c>
      <c r="H54" s="140">
        <f>'[1]capital receipt'!E12</f>
        <v>142525.75</v>
      </c>
      <c r="I54" s="140">
        <f>'[1]capital receipt'!F12</f>
        <v>159685</v>
      </c>
      <c r="J54" s="140">
        <f>'[1]capital receipt'!G12</f>
        <v>208896</v>
      </c>
      <c r="K54" s="140">
        <f>'[1]capital receipt'!H12</f>
        <v>217670</v>
      </c>
      <c r="L54" s="140">
        <f>'[1]capital receipt'!I12</f>
        <v>458240</v>
      </c>
      <c r="M54" s="140">
        <f>'[1]capital receipt'!J12</f>
        <v>407796.43</v>
      </c>
      <c r="N54" s="140">
        <f>'[1]capital receipt'!K12</f>
        <v>445283.5</v>
      </c>
      <c r="O54" s="140">
        <f>'[1]capital receipt'!L12</f>
        <v>457486.99</v>
      </c>
      <c r="P54" s="140">
        <f>'[1]capital receipt'!M12</f>
        <v>360809.92</v>
      </c>
      <c r="Q54" s="140">
        <f>'[1]capital receipt'!N12</f>
        <v>360809.92</v>
      </c>
    </row>
    <row r="55" spans="1:17" x14ac:dyDescent="0.3">
      <c r="A55" s="139" t="s">
        <v>21</v>
      </c>
      <c r="B55" s="139" t="s">
        <v>21</v>
      </c>
      <c r="C55" s="139" t="s">
        <v>436</v>
      </c>
      <c r="D55" s="139" t="s">
        <v>222</v>
      </c>
      <c r="E55" s="140">
        <f>'[1]capital receipt'!B21</f>
        <v>25416.23</v>
      </c>
      <c r="F55" s="140">
        <f>'[1]capital receipt'!C21</f>
        <v>33533.89</v>
      </c>
      <c r="G55" s="140">
        <f>'[1]capital receipt'!D21</f>
        <v>36053.72</v>
      </c>
      <c r="H55" s="140">
        <f>'[1]capital receipt'!E21</f>
        <v>44191.49</v>
      </c>
      <c r="I55" s="140">
        <f>'[1]capital receipt'!F21</f>
        <v>48516.74</v>
      </c>
      <c r="J55" s="140">
        <f>'[1]capital receipt'!G21</f>
        <v>50609.440000000002</v>
      </c>
      <c r="K55" s="140">
        <f>'[1]capital receipt'!H21</f>
        <v>63180.3</v>
      </c>
      <c r="L55" s="140">
        <f>'[1]capital receipt'!I21</f>
        <v>123937.57</v>
      </c>
      <c r="M55" s="140">
        <f>'[1]capital receipt'!J21</f>
        <v>86664.57</v>
      </c>
      <c r="N55" s="140">
        <f>'[1]capital receipt'!K21</f>
        <v>93731.28</v>
      </c>
      <c r="O55" s="140">
        <f>'[1]capital receipt'!L21</f>
        <v>120429.2</v>
      </c>
      <c r="P55" s="140">
        <f>'[1]capital receipt'!M21</f>
        <v>107711.53</v>
      </c>
      <c r="Q55" s="140">
        <f>'[1]capital receipt'!N21</f>
        <v>111013.36</v>
      </c>
    </row>
    <row r="56" spans="1:17" x14ac:dyDescent="0.3">
      <c r="A56" s="139" t="s">
        <v>21</v>
      </c>
      <c r="B56" s="139" t="s">
        <v>21</v>
      </c>
      <c r="C56" s="139" t="s">
        <v>437</v>
      </c>
      <c r="D56" s="139" t="s">
        <v>438</v>
      </c>
      <c r="E56" s="140">
        <f>'[1]capital receipt'!B29</f>
        <v>24549</v>
      </c>
      <c r="F56" s="140">
        <f>'[1]capital receipt'!C29</f>
        <v>26546.7</v>
      </c>
      <c r="G56" s="140">
        <f>'[1]capital receipt'!D29</f>
        <v>41869.800000000003</v>
      </c>
      <c r="H56" s="140">
        <f>'[1]capital receipt'!E29</f>
        <v>40971.1</v>
      </c>
      <c r="I56" s="140">
        <f>'[1]capital receipt'!F29</f>
        <v>70639.16</v>
      </c>
      <c r="J56" s="140">
        <f>'[1]capital receipt'!G29</f>
        <v>30256.94</v>
      </c>
      <c r="K56" s="140">
        <f>'[1]capital receipt'!H29</f>
        <v>18647.18</v>
      </c>
      <c r="L56" s="140">
        <f>'[1]capital receipt'!I29</f>
        <v>29923.16</v>
      </c>
      <c r="M56" s="140">
        <f>'[1]capital receipt'!J29</f>
        <v>24948.1</v>
      </c>
      <c r="N56" s="140">
        <f>'[1]capital receipt'!K29</f>
        <v>36272.65</v>
      </c>
      <c r="O56" s="140">
        <f>'[1]capital receipt'!L29</f>
        <v>116973.62</v>
      </c>
      <c r="P56" s="140">
        <f>'[1]capital receipt'!M29</f>
        <v>199854.01</v>
      </c>
      <c r="Q56" s="140">
        <f>'[1]capital receipt'!N29</f>
        <v>146750.01</v>
      </c>
    </row>
    <row r="57" spans="1:17" x14ac:dyDescent="0.3">
      <c r="A57" s="139" t="s">
        <v>21</v>
      </c>
      <c r="B57" s="139" t="s">
        <v>21</v>
      </c>
      <c r="C57" s="139" t="s">
        <v>437</v>
      </c>
      <c r="D57" s="139" t="s">
        <v>439</v>
      </c>
      <c r="E57" s="140">
        <f>'[1]capital receipt'!B25</f>
        <v>10007.6</v>
      </c>
      <c r="F57" s="140">
        <f>'[1]capital receipt'!C25</f>
        <v>10582.32</v>
      </c>
      <c r="G57" s="140">
        <f>'[1]capital receipt'!D25</f>
        <v>11453.53</v>
      </c>
      <c r="H57" s="140">
        <f>'[1]capital receipt'!E25</f>
        <v>12522.85</v>
      </c>
      <c r="I57" s="140">
        <f>'[1]capital receipt'!F25</f>
        <v>13057.3</v>
      </c>
      <c r="J57" s="140">
        <f>'[1]capital receipt'!G25</f>
        <v>14366.77</v>
      </c>
      <c r="K57" s="140">
        <f>'[1]capital receipt'!H25</f>
        <v>15550.89</v>
      </c>
      <c r="L57" s="140">
        <f>'[1]capital receipt'!I25</f>
        <v>16063.28</v>
      </c>
      <c r="M57" s="140">
        <f>'[1]capital receipt'!J25</f>
        <v>17491.18</v>
      </c>
      <c r="N57" s="140">
        <f>'[1]capital receipt'!K25</f>
        <v>19890.689999999999</v>
      </c>
      <c r="O57" s="140">
        <f>'[1]capital receipt'!L25</f>
        <v>92856.68</v>
      </c>
      <c r="P57" s="140">
        <f>'[1]capital receipt'!M25</f>
        <v>135595.97</v>
      </c>
      <c r="Q57" s="140">
        <f>'[1]capital receipt'!N25</f>
        <v>84847.61</v>
      </c>
    </row>
    <row r="58" spans="1:17" x14ac:dyDescent="0.3">
      <c r="A58" s="139" t="s">
        <v>21</v>
      </c>
      <c r="B58" s="139" t="s">
        <v>21</v>
      </c>
      <c r="C58" s="139" t="s">
        <v>440</v>
      </c>
      <c r="D58" s="139" t="s">
        <v>441</v>
      </c>
      <c r="E58" s="140">
        <f>'[1]capital receipt'!B31</f>
        <v>29367.89</v>
      </c>
      <c r="F58" s="140">
        <f>'[1]capital receipt'!C31</f>
        <v>37739.85</v>
      </c>
      <c r="G58" s="140">
        <f>'[1]capital receipt'!D31</f>
        <v>42131.69</v>
      </c>
      <c r="H58" s="140">
        <f>'[1]capital receipt'!E31</f>
        <v>47742.55</v>
      </c>
      <c r="I58" s="140">
        <f>'[1]capital receipt'!F31</f>
        <v>100048.45</v>
      </c>
      <c r="J58" s="140">
        <f>'[1]capital receipt'!G31</f>
        <v>94979.05</v>
      </c>
      <c r="K58" s="140">
        <f>'[1]capital receipt'!H31</f>
        <v>50349.29</v>
      </c>
      <c r="L58" s="140">
        <f>'[1]capital receipt'!I31</f>
        <v>37896.959999999999</v>
      </c>
      <c r="M58" s="140">
        <f>'[1]capital receipt'!J31</f>
        <v>14638.22</v>
      </c>
      <c r="N58" s="140">
        <f>'[1]capital receipt'!K31</f>
        <v>46034.89</v>
      </c>
      <c r="O58" s="140">
        <f>'[1]capital receipt'!L31</f>
        <v>45280.68</v>
      </c>
      <c r="P58" s="140">
        <f>'[1]capital receipt'!M31</f>
        <v>36012.43</v>
      </c>
      <c r="Q58" s="140">
        <f>'[1]capital receipt'!N31</f>
        <v>47000</v>
      </c>
    </row>
    <row r="59" spans="1:17" x14ac:dyDescent="0.3">
      <c r="A59" s="137" t="s">
        <v>23</v>
      </c>
      <c r="B59" s="137" t="s">
        <v>23</v>
      </c>
      <c r="C59" s="137" t="s">
        <v>382</v>
      </c>
      <c r="D59" s="137" t="s">
        <v>24</v>
      </c>
      <c r="E59" s="138">
        <f>'[1]capital disbursements'!B157</f>
        <v>3711135.71</v>
      </c>
      <c r="F59" s="138">
        <f>'[1]capital disbursements'!C157</f>
        <v>3921706.24</v>
      </c>
      <c r="G59" s="138">
        <f>'[1]capital disbursements'!D157</f>
        <v>4063795.25</v>
      </c>
      <c r="H59" s="138">
        <f>'[1]capital disbursements'!E157</f>
        <v>5988306.4100000001</v>
      </c>
      <c r="I59" s="138">
        <f>'[1]capital disbursements'!F157</f>
        <v>6279856.7999999998</v>
      </c>
      <c r="J59" s="138">
        <f>'[1]capital disbursements'!G157</f>
        <v>6519135.5800000001</v>
      </c>
      <c r="K59" s="138">
        <f>'[1]capital disbursements'!H157</f>
        <v>6759434.6500000004</v>
      </c>
      <c r="L59" s="138">
        <f>'[1]capital disbursements'!I157</f>
        <v>6777429.6600000001</v>
      </c>
      <c r="M59" s="138">
        <f>'[1]capital disbursements'!J157</f>
        <v>7445313.0499999998</v>
      </c>
      <c r="N59" s="138">
        <f>'[1]capital disbursements'!K157</f>
        <v>7966516.6100000003</v>
      </c>
      <c r="O59" s="138">
        <f>'[1]capital disbursements'!L157</f>
        <v>8460982.8800000008</v>
      </c>
      <c r="P59" s="138">
        <f>'[1]capital disbursements'!M157</f>
        <v>9500416.2799999993</v>
      </c>
      <c r="Q59" s="138">
        <f>'[1]capital disbursements'!N157</f>
        <v>10293122.49</v>
      </c>
    </row>
    <row r="60" spans="1:17" x14ac:dyDescent="0.3">
      <c r="A60" s="139" t="s">
        <v>23</v>
      </c>
      <c r="B60" s="139" t="s">
        <v>23</v>
      </c>
      <c r="C60" s="139" t="s">
        <v>442</v>
      </c>
      <c r="D60" s="139" t="s">
        <v>443</v>
      </c>
      <c r="E60" s="140">
        <f>'[1]capital disbursements'!B87</f>
        <v>168844.47</v>
      </c>
      <c r="F60" s="140">
        <f>'[1]capital disbursements'!C87</f>
        <v>172085.06</v>
      </c>
      <c r="G60" s="140">
        <f>'[1]capital disbursements'!D87</f>
        <v>278866.34000000003</v>
      </c>
      <c r="H60" s="140">
        <f>'[1]capital disbursements'!E87</f>
        <v>249471.82</v>
      </c>
      <c r="I60" s="140">
        <f>'[1]capital disbursements'!F87</f>
        <v>325115.99</v>
      </c>
      <c r="J60" s="140">
        <f>'[1]capital disbursements'!G87</f>
        <v>399522.74</v>
      </c>
      <c r="K60" s="140">
        <f>'[1]capital disbursements'!H87</f>
        <v>387744.11</v>
      </c>
      <c r="L60" s="140">
        <f>'[1]capital disbursements'!I87</f>
        <v>342948.78</v>
      </c>
      <c r="M60" s="140">
        <f>'[1]capital disbursements'!J87</f>
        <v>538140.23</v>
      </c>
      <c r="N60" s="140">
        <f>'[1]capital disbursements'!K87</f>
        <v>624757.25</v>
      </c>
      <c r="O60" s="140">
        <f>'[1]capital disbursements'!L87</f>
        <v>807180.34</v>
      </c>
      <c r="P60" s="140">
        <f>'[1]capital disbursements'!M87</f>
        <v>851881.22</v>
      </c>
      <c r="Q60" s="140">
        <f>'[1]capital disbursements'!N87</f>
        <v>956245.31</v>
      </c>
    </row>
    <row r="61" spans="1:17" x14ac:dyDescent="0.3">
      <c r="A61" s="139" t="s">
        <v>23</v>
      </c>
      <c r="B61" s="139" t="s">
        <v>23</v>
      </c>
      <c r="C61" s="139" t="s">
        <v>418</v>
      </c>
      <c r="D61" s="139" t="s">
        <v>444</v>
      </c>
      <c r="E61" s="140">
        <f>'[1]capital disbursements'!B3</f>
        <v>87900.22</v>
      </c>
      <c r="F61" s="140">
        <f>'[1]capital disbursements'!C3</f>
        <v>89995.26</v>
      </c>
      <c r="G61" s="140">
        <f>'[1]capital disbursements'!D3</f>
        <v>91462.26</v>
      </c>
      <c r="H61" s="140">
        <f>'[1]capital disbursements'!E3</f>
        <v>99183.05</v>
      </c>
      <c r="I61" s="140">
        <f>'[1]capital disbursements'!F3</f>
        <v>106352.76</v>
      </c>
      <c r="J61" s="140">
        <f>'[1]capital disbursements'!G3</f>
        <v>112921.39</v>
      </c>
      <c r="K61" s="140">
        <f>'[1]capital disbursements'!H3</f>
        <v>124807.42</v>
      </c>
      <c r="L61" s="140">
        <f>'[1]capital disbursements'!I3</f>
        <v>142745.65</v>
      </c>
      <c r="M61" s="140">
        <f>'[1]capital disbursements'!J3</f>
        <v>153776.9</v>
      </c>
      <c r="N61" s="140">
        <f>'[1]capital disbursements'!K3</f>
        <v>161187.49</v>
      </c>
      <c r="O61" s="140">
        <f>'[1]capital disbursements'!L3</f>
        <v>177487.65</v>
      </c>
      <c r="P61" s="140">
        <f>'[1]capital disbursements'!M3</f>
        <v>182591.24</v>
      </c>
      <c r="Q61" s="140">
        <f>'[1]capital disbursements'!N3</f>
        <v>209088.88</v>
      </c>
    </row>
    <row r="62" spans="1:17" x14ac:dyDescent="0.3">
      <c r="A62" s="139" t="s">
        <v>23</v>
      </c>
      <c r="B62" s="139" t="s">
        <v>23</v>
      </c>
      <c r="C62" s="139" t="s">
        <v>418</v>
      </c>
      <c r="D62" s="139" t="s">
        <v>445</v>
      </c>
      <c r="E62" s="140">
        <f>'[1]capital disbursements'!B12</f>
        <v>79125.05</v>
      </c>
      <c r="F62" s="140">
        <f>'[1]capital disbursements'!C12</f>
        <v>81886.98</v>
      </c>
      <c r="G62" s="140">
        <f>'[1]capital disbursements'!D12</f>
        <v>79958.320000000007</v>
      </c>
      <c r="H62" s="140">
        <f>'[1]capital disbursements'!E12</f>
        <v>86370.92</v>
      </c>
      <c r="I62" s="140">
        <f>'[1]capital disbursements'!F12</f>
        <v>90445.24</v>
      </c>
      <c r="J62" s="140">
        <f>'[1]capital disbursements'!G12</f>
        <v>95230.59</v>
      </c>
      <c r="K62" s="140">
        <f>'[1]capital disbursements'!H12</f>
        <v>111092.43</v>
      </c>
      <c r="L62" s="140">
        <f>'[1]capital disbursements'!I12</f>
        <v>134304.92000000001</v>
      </c>
      <c r="M62" s="140">
        <f>'[1]capital disbursements'!J12</f>
        <v>137986.97</v>
      </c>
      <c r="N62" s="140">
        <f>'[1]capital disbursements'!K12</f>
        <v>142940.01</v>
      </c>
      <c r="O62" s="140">
        <f>'[1]capital disbursements'!L12</f>
        <v>154256.28</v>
      </c>
      <c r="P62" s="140">
        <f>'[1]capital disbursements'!M12</f>
        <v>159500</v>
      </c>
      <c r="Q62" s="140">
        <f>'[1]capital disbursements'!N12</f>
        <v>180000</v>
      </c>
    </row>
    <row r="63" spans="1:17" x14ac:dyDescent="0.3">
      <c r="A63" s="139" t="s">
        <v>23</v>
      </c>
      <c r="B63" s="139" t="s">
        <v>23</v>
      </c>
      <c r="C63" s="139" t="s">
        <v>446</v>
      </c>
      <c r="D63" s="139" t="s">
        <v>447</v>
      </c>
      <c r="E63" s="140">
        <f>'[1]capital disbursements'!B14</f>
        <v>3386.56</v>
      </c>
      <c r="F63" s="140">
        <f>'[1]capital disbursements'!C14</f>
        <v>4347.51</v>
      </c>
      <c r="G63" s="140">
        <f>'[1]capital disbursements'!D14</f>
        <v>4903.24</v>
      </c>
      <c r="H63" s="140">
        <f>'[1]capital disbursements'!E14</f>
        <v>4537.33</v>
      </c>
      <c r="I63" s="140">
        <f>'[1]capital disbursements'!F14</f>
        <v>8749.6</v>
      </c>
      <c r="J63" s="140">
        <f>'[1]capital disbursements'!G14</f>
        <v>9148.85</v>
      </c>
      <c r="K63" s="140">
        <f>'[1]capital disbursements'!H14</f>
        <v>9492.19</v>
      </c>
      <c r="L63" s="140">
        <f>'[1]capital disbursements'!I14</f>
        <v>7109.9</v>
      </c>
      <c r="M63" s="140">
        <f>'[1]capital disbursements'!J14</f>
        <v>9445.11</v>
      </c>
      <c r="N63" s="140">
        <f>'[1]capital disbursements'!K14</f>
        <v>12166.45</v>
      </c>
      <c r="O63" s="140">
        <f>'[1]capital disbursements'!L14</f>
        <v>8587.4500000000007</v>
      </c>
      <c r="P63" s="140">
        <f>'[1]capital disbursements'!M14</f>
        <v>11503.31</v>
      </c>
      <c r="Q63" s="140">
        <f>'[1]capital disbursements'!N14</f>
        <v>11186.3</v>
      </c>
    </row>
    <row r="64" spans="1:17" x14ac:dyDescent="0.3">
      <c r="A64" s="139" t="s">
        <v>23</v>
      </c>
      <c r="B64" s="139" t="s">
        <v>23</v>
      </c>
      <c r="C64" s="139" t="s">
        <v>448</v>
      </c>
      <c r="D64" s="139" t="s">
        <v>449</v>
      </c>
      <c r="E64" s="140">
        <f>'[1]capital disbursements'!B25</f>
        <v>76248.11</v>
      </c>
      <c r="F64" s="140">
        <f>'[1]capital disbursements'!C25</f>
        <v>76302.42</v>
      </c>
      <c r="G64" s="140">
        <f>'[1]capital disbursements'!D25</f>
        <v>180796.24</v>
      </c>
      <c r="H64" s="140">
        <f>'[1]capital disbursements'!E25</f>
        <v>144127.34</v>
      </c>
      <c r="I64" s="140">
        <f>'[1]capital disbursements'!F25</f>
        <v>207697.78</v>
      </c>
      <c r="J64" s="140">
        <f>'[1]capital disbursements'!G25</f>
        <v>275851.86</v>
      </c>
      <c r="K64" s="140">
        <f>'[1]capital disbursements'!H25</f>
        <v>252001.86</v>
      </c>
      <c r="L64" s="140">
        <f>'[1]capital disbursements'!I25</f>
        <v>191145.47</v>
      </c>
      <c r="M64" s="140">
        <f>'[1]capital disbursements'!J25</f>
        <v>371338.6</v>
      </c>
      <c r="N64" s="140">
        <f>'[1]capital disbursements'!K25</f>
        <v>447586.13</v>
      </c>
      <c r="O64" s="140">
        <f>'[1]capital disbursements'!L25</f>
        <v>617034.53</v>
      </c>
      <c r="P64" s="140">
        <f>'[1]capital disbursements'!M25</f>
        <v>653215.76</v>
      </c>
      <c r="Q64" s="140">
        <f>'[1]capital disbursements'!N25</f>
        <v>731222.48</v>
      </c>
    </row>
    <row r="65" spans="1:17" x14ac:dyDescent="0.3">
      <c r="A65" s="139" t="s">
        <v>23</v>
      </c>
      <c r="B65" s="139" t="s">
        <v>23</v>
      </c>
      <c r="C65" s="139" t="s">
        <v>448</v>
      </c>
      <c r="D65" s="139" t="s">
        <v>450</v>
      </c>
      <c r="E65" s="140">
        <f>'[1]capital disbursements'!B44</f>
        <v>525.47</v>
      </c>
      <c r="F65" s="140">
        <f>'[1]capital disbursements'!C44</f>
        <v>708.59</v>
      </c>
      <c r="G65" s="140">
        <f>'[1]capital disbursements'!D44</f>
        <v>1944.07</v>
      </c>
      <c r="H65" s="140">
        <f>'[1]capital disbursements'!E44</f>
        <v>4533.6499999999996</v>
      </c>
      <c r="I65" s="140">
        <f>'[1]capital disbursements'!F44</f>
        <v>2448.52</v>
      </c>
      <c r="J65" s="140">
        <f>'[1]capital disbursements'!G44</f>
        <v>3817.32</v>
      </c>
      <c r="K65" s="140">
        <f>'[1]capital disbursements'!H44</f>
        <v>1374</v>
      </c>
      <c r="L65" s="140">
        <f>'[1]capital disbursements'!I44</f>
        <v>3019.2</v>
      </c>
      <c r="M65" s="140">
        <f>'[1]capital disbursements'!J44</f>
        <v>3519.85</v>
      </c>
      <c r="N65" s="140">
        <f>'[1]capital disbursements'!K44</f>
        <v>2082.8200000000002</v>
      </c>
      <c r="O65" s="140">
        <f>'[1]capital disbursements'!L44</f>
        <v>6999.23</v>
      </c>
      <c r="P65" s="140">
        <f>'[1]capital disbursements'!M44</f>
        <v>5977.11</v>
      </c>
      <c r="Q65" s="140">
        <f>'[1]capital disbursements'!N44</f>
        <v>10646.24</v>
      </c>
    </row>
    <row r="66" spans="1:17" x14ac:dyDescent="0.3">
      <c r="A66" s="139" t="s">
        <v>23</v>
      </c>
      <c r="B66" s="139" t="s">
        <v>23</v>
      </c>
      <c r="C66" s="139" t="s">
        <v>448</v>
      </c>
      <c r="D66" s="139" t="s">
        <v>451</v>
      </c>
      <c r="E66" s="140">
        <f>'[1]capital disbursements'!B49</f>
        <v>3225.76</v>
      </c>
      <c r="F66" s="140">
        <f>'[1]capital disbursements'!C49</f>
        <v>4011.18</v>
      </c>
      <c r="G66" s="140">
        <f>'[1]capital disbursements'!D49</f>
        <v>3624.24</v>
      </c>
      <c r="H66" s="140">
        <f>'[1]capital disbursements'!E49</f>
        <v>4135.05</v>
      </c>
      <c r="I66" s="140">
        <f>'[1]capital disbursements'!F49</f>
        <v>4298.0600000000004</v>
      </c>
      <c r="J66" s="140">
        <f>'[1]capital disbursements'!G49</f>
        <v>8526</v>
      </c>
      <c r="K66" s="140">
        <f>'[1]capital disbursements'!H49</f>
        <v>12113.77</v>
      </c>
      <c r="L66" s="140">
        <f>'[1]capital disbursements'!I49</f>
        <v>5212.24</v>
      </c>
      <c r="M66" s="140">
        <f>'[1]capital disbursements'!J49</f>
        <v>6505.58</v>
      </c>
      <c r="N66" s="140">
        <f>'[1]capital disbursements'!K49</f>
        <v>6592.02</v>
      </c>
      <c r="O66" s="140">
        <f>'[1]capital disbursements'!L49</f>
        <v>6708.31</v>
      </c>
      <c r="P66" s="140">
        <f>'[1]capital disbursements'!M49</f>
        <v>12870.32</v>
      </c>
      <c r="Q66" s="140">
        <f>'[1]capital disbursements'!N49</f>
        <v>12167.36</v>
      </c>
    </row>
    <row r="67" spans="1:17" x14ac:dyDescent="0.3">
      <c r="A67" s="139" t="s">
        <v>23</v>
      </c>
      <c r="B67" s="139" t="s">
        <v>23</v>
      </c>
      <c r="C67" s="139" t="s">
        <v>448</v>
      </c>
      <c r="D67" s="139" t="s">
        <v>452</v>
      </c>
      <c r="E67" s="140">
        <f>'[1]capital disbursements'!B60</f>
        <v>48305.1</v>
      </c>
      <c r="F67" s="140">
        <f>'[1]capital disbursements'!C60</f>
        <v>52768.66</v>
      </c>
      <c r="G67" s="140">
        <f>'[1]capital disbursements'!D60</f>
        <v>68249.62</v>
      </c>
      <c r="H67" s="140">
        <f>'[1]capital disbursements'!E60</f>
        <v>92084.800000000003</v>
      </c>
      <c r="I67" s="140">
        <f>'[1]capital disbursements'!F60</f>
        <v>99016.57</v>
      </c>
      <c r="J67" s="140">
        <f>'[1]capital disbursements'!G60</f>
        <v>126787.65</v>
      </c>
      <c r="K67" s="140">
        <f>'[1]capital disbursements'!H60</f>
        <v>138894.70000000001</v>
      </c>
      <c r="L67" s="140">
        <f>'[1]capital disbursements'!I60</f>
        <v>122449.35</v>
      </c>
      <c r="M67" s="140">
        <f>'[1]capital disbursements'!J60</f>
        <v>297124.32</v>
      </c>
      <c r="N67" s="140">
        <f>'[1]capital disbursements'!K60</f>
        <v>370536.16</v>
      </c>
      <c r="O67" s="140">
        <f>'[1]capital disbursements'!L60</f>
        <v>514475.22</v>
      </c>
      <c r="P67" s="140">
        <f>'[1]capital disbursements'!M60</f>
        <v>512183.46</v>
      </c>
      <c r="Q67" s="140">
        <f>'[1]capital disbursements'!N60</f>
        <v>512582.76</v>
      </c>
    </row>
    <row r="68" spans="1:17" x14ac:dyDescent="0.3">
      <c r="A68" s="139" t="s">
        <v>23</v>
      </c>
      <c r="B68" s="139" t="s">
        <v>23</v>
      </c>
      <c r="C68" s="139" t="s">
        <v>448</v>
      </c>
      <c r="D68" s="139" t="s">
        <v>453</v>
      </c>
      <c r="E68" s="140">
        <f>'[1]capital disbursements'!B61</f>
        <v>26124.52</v>
      </c>
      <c r="F68" s="140">
        <f>'[1]capital disbursements'!C61</f>
        <v>29199.79</v>
      </c>
      <c r="G68" s="140">
        <f>'[1]capital disbursements'!D61</f>
        <v>35007.870000000003</v>
      </c>
      <c r="H68" s="140">
        <f>'[1]capital disbursements'!E61</f>
        <v>45231.63</v>
      </c>
      <c r="I68" s="140">
        <f>'[1]capital disbursements'!F61</f>
        <v>43285.27</v>
      </c>
      <c r="J68" s="140">
        <f>'[1]capital disbursements'!G61</f>
        <v>52102.61</v>
      </c>
      <c r="K68" s="140">
        <f>'[1]capital disbursements'!H61</f>
        <v>67839.86</v>
      </c>
      <c r="L68" s="140">
        <f>'[1]capital disbursements'!I61</f>
        <v>29909.58</v>
      </c>
      <c r="M68" s="140">
        <f>'[1]capital disbursements'!J61</f>
        <v>117231.73</v>
      </c>
      <c r="N68" s="140">
        <f>'[1]capital disbursements'!K61</f>
        <v>159169.22</v>
      </c>
      <c r="O68" s="140">
        <f>'[1]capital disbursements'!L61</f>
        <v>242537.91</v>
      </c>
      <c r="P68" s="140">
        <f>'[1]capital disbursements'!M61</f>
        <v>252337.84</v>
      </c>
      <c r="Q68" s="140">
        <f>'[1]capital disbursements'!N61</f>
        <v>251950.81</v>
      </c>
    </row>
    <row r="69" spans="1:17" x14ac:dyDescent="0.3">
      <c r="A69" s="139" t="s">
        <v>23</v>
      </c>
      <c r="B69" s="139" t="s">
        <v>23</v>
      </c>
      <c r="C69" s="139" t="s">
        <v>448</v>
      </c>
      <c r="D69" s="139" t="s">
        <v>454</v>
      </c>
      <c r="E69" s="140">
        <f>'[1]capital disbursements'!B65</f>
        <v>6054.63</v>
      </c>
      <c r="F69" s="140">
        <f>'[1]capital disbursements'!C65</f>
        <v>5814.94</v>
      </c>
      <c r="G69" s="140">
        <f>'[1]capital disbursements'!D65</f>
        <v>3361.02</v>
      </c>
      <c r="H69" s="140">
        <f>'[1]capital disbursements'!E65</f>
        <v>2709.27</v>
      </c>
      <c r="I69" s="140">
        <f>'[1]capital disbursements'!F65</f>
        <v>1836.84</v>
      </c>
      <c r="J69" s="140">
        <f>'[1]capital disbursements'!G65</f>
        <v>3975.87</v>
      </c>
      <c r="K69" s="140">
        <f>'[1]capital disbursements'!H65</f>
        <v>21.36</v>
      </c>
      <c r="L69" s="140">
        <f>'[1]capital disbursements'!I65</f>
        <v>35.9</v>
      </c>
      <c r="M69" s="140">
        <f>'[1]capital disbursements'!J65</f>
        <v>62421.99</v>
      </c>
      <c r="N69" s="140">
        <f>'[1]capital disbursements'!K65</f>
        <v>75.44</v>
      </c>
      <c r="O69" s="140">
        <f>'[1]capital disbursements'!L65</f>
        <v>741.31</v>
      </c>
      <c r="P69" s="140">
        <f>'[1]capital disbursements'!M65</f>
        <v>88.05</v>
      </c>
      <c r="Q69" s="140">
        <f>'[1]capital disbursements'!N65</f>
        <v>45</v>
      </c>
    </row>
    <row r="70" spans="1:17" x14ac:dyDescent="0.3">
      <c r="A70" s="139" t="s">
        <v>23</v>
      </c>
      <c r="B70" s="139" t="s">
        <v>23</v>
      </c>
      <c r="C70" s="139" t="s">
        <v>448</v>
      </c>
      <c r="D70" s="139" t="s">
        <v>455</v>
      </c>
      <c r="E70" s="140">
        <f>'[1]capital disbursements'!B66</f>
        <v>14890.65</v>
      </c>
      <c r="F70" s="140">
        <f>'[1]capital disbursements'!C66</f>
        <v>16572.39</v>
      </c>
      <c r="G70" s="140">
        <f>'[1]capital disbursements'!D66</f>
        <v>29636.400000000001</v>
      </c>
      <c r="H70" s="140">
        <f>'[1]capital disbursements'!E66</f>
        <v>43774.48</v>
      </c>
      <c r="I70" s="140">
        <f>'[1]capital disbursements'!F66</f>
        <v>53524.63</v>
      </c>
      <c r="J70" s="140">
        <f>'[1]capital disbursements'!G66</f>
        <v>69760.86</v>
      </c>
      <c r="K70" s="140">
        <f>'[1]capital disbursements'!H66</f>
        <v>70713.649999999994</v>
      </c>
      <c r="L70" s="140">
        <f>'[1]capital disbursements'!I66</f>
        <v>92293.6</v>
      </c>
      <c r="M70" s="140">
        <f>'[1]capital disbursements'!J66</f>
        <v>116787.77</v>
      </c>
      <c r="N70" s="140">
        <f>'[1]capital disbursements'!K66</f>
        <v>210495.94</v>
      </c>
      <c r="O70" s="140">
        <f>'[1]capital disbursements'!L66</f>
        <v>269865.27</v>
      </c>
      <c r="P70" s="140">
        <f>'[1]capital disbursements'!M66</f>
        <v>258853.05</v>
      </c>
      <c r="Q70" s="140">
        <f>'[1]capital disbursements'!N66</f>
        <v>259117.56</v>
      </c>
    </row>
    <row r="71" spans="1:17" x14ac:dyDescent="0.3">
      <c r="A71" s="139" t="s">
        <v>23</v>
      </c>
      <c r="B71" s="139" t="s">
        <v>23</v>
      </c>
      <c r="C71" s="139" t="s">
        <v>448</v>
      </c>
      <c r="D71" s="139" t="s">
        <v>456</v>
      </c>
      <c r="E71" s="140">
        <f>'[1]capital disbursements'!B74</f>
        <v>3078.35</v>
      </c>
      <c r="F71" s="140">
        <f>'[1]capital disbursements'!C74</f>
        <v>3186.36</v>
      </c>
      <c r="G71" s="140">
        <f>'[1]capital disbursements'!D74</f>
        <v>4036.82</v>
      </c>
      <c r="H71" s="140">
        <f>'[1]capital disbursements'!E74</f>
        <v>5228.6499999999996</v>
      </c>
      <c r="I71" s="140">
        <f>'[1]capital disbursements'!F74</f>
        <v>5373.08</v>
      </c>
      <c r="J71" s="140">
        <f>'[1]capital disbursements'!G74</f>
        <v>7294.96</v>
      </c>
      <c r="K71" s="140">
        <f>'[1]capital disbursements'!H74</f>
        <v>9221.6</v>
      </c>
      <c r="L71" s="140">
        <f>'[1]capital disbursements'!I74</f>
        <v>6029.43</v>
      </c>
      <c r="M71" s="140">
        <f>'[1]capital disbursements'!J74</f>
        <v>9995.41</v>
      </c>
      <c r="N71" s="140">
        <f>'[1]capital disbursements'!K74</f>
        <v>7791.68</v>
      </c>
      <c r="O71" s="140">
        <f>'[1]capital disbursements'!L74</f>
        <v>7157.09</v>
      </c>
      <c r="P71" s="140">
        <f>'[1]capital disbursements'!M74</f>
        <v>6397.83</v>
      </c>
      <c r="Q71" s="140">
        <f>'[1]capital disbursements'!N74</f>
        <v>8123.9</v>
      </c>
    </row>
    <row r="72" spans="1:17" x14ac:dyDescent="0.3">
      <c r="A72" s="139" t="s">
        <v>23</v>
      </c>
      <c r="B72" s="139" t="s">
        <v>23</v>
      </c>
      <c r="C72" s="139" t="s">
        <v>448</v>
      </c>
      <c r="D72" s="139" t="s">
        <v>457</v>
      </c>
      <c r="E72" s="140">
        <f>'[1]capital disbursements'!B79</f>
        <v>18827.240000000002</v>
      </c>
      <c r="F72" s="140">
        <f>'[1]capital disbursements'!C79</f>
        <v>13609.48</v>
      </c>
      <c r="G72" s="140">
        <f>'[1]capital disbursements'!D79</f>
        <v>98628.75</v>
      </c>
      <c r="H72" s="140">
        <f>'[1]capital disbursements'!E79</f>
        <v>32729.67</v>
      </c>
      <c r="I72" s="140">
        <f>'[1]capital disbursements'!F79</f>
        <v>87636.37</v>
      </c>
      <c r="J72" s="140">
        <f>'[1]capital disbursements'!G79</f>
        <v>123786.79</v>
      </c>
      <c r="K72" s="140">
        <f>'[1]capital disbursements'!H79</f>
        <v>81044.789999999994</v>
      </c>
      <c r="L72" s="140">
        <f>'[1]capital disbursements'!I79</f>
        <v>46793.66</v>
      </c>
      <c r="M72" s="140">
        <f>'[1]capital disbursements'!J79</f>
        <v>40831.910000000003</v>
      </c>
      <c r="N72" s="140">
        <f>'[1]capital disbursements'!K79</f>
        <v>1161.19</v>
      </c>
      <c r="O72" s="140">
        <f>'[1]capital disbursements'!L79</f>
        <v>19744.18</v>
      </c>
      <c r="P72" s="140">
        <f>'[1]capital disbursements'!M79</f>
        <v>15701.37</v>
      </c>
      <c r="Q72" s="140">
        <f>'[1]capital disbursements'!N79</f>
        <v>108746.25</v>
      </c>
    </row>
    <row r="73" spans="1:17" x14ac:dyDescent="0.3">
      <c r="A73" s="139" t="s">
        <v>23</v>
      </c>
      <c r="B73" s="139" t="s">
        <v>23</v>
      </c>
      <c r="C73" s="139" t="s">
        <v>448</v>
      </c>
      <c r="D73" s="139" t="s">
        <v>458</v>
      </c>
      <c r="E73" s="140">
        <f>'[1]capital disbursements'!B83</f>
        <v>16100</v>
      </c>
      <c r="F73" s="140">
        <f>'[1]capital disbursements'!C83</f>
        <v>7090</v>
      </c>
      <c r="G73" s="140">
        <f>'[1]capital disbursements'!D83</f>
        <v>25700.04</v>
      </c>
      <c r="H73" s="140">
        <f>'[1]capital disbursements'!E83</f>
        <v>26422.18</v>
      </c>
      <c r="I73" s="140">
        <f>'[1]capital disbursements'!F83</f>
        <v>90175.35</v>
      </c>
      <c r="J73" s="140">
        <f>'[1]capital disbursements'!G83</f>
        <v>109466.29</v>
      </c>
      <c r="K73" s="140">
        <f>'[1]capital disbursements'!H83</f>
        <v>75721.279999999999</v>
      </c>
      <c r="L73" s="140">
        <f>'[1]capital disbursements'!I83</f>
        <v>36042.720000000001</v>
      </c>
      <c r="M73" s="140">
        <f>'[1]capital disbursements'!J83</f>
        <v>33488.14</v>
      </c>
      <c r="N73" s="140">
        <f>'[1]capital disbursements'!K83</f>
        <v>3489.34</v>
      </c>
      <c r="O73" s="140">
        <f>'[1]capital disbursements'!L83</f>
        <v>11958.48</v>
      </c>
      <c r="P73" s="140">
        <f>'[1]capital disbursements'!M83</f>
        <v>3310</v>
      </c>
      <c r="Q73" s="140">
        <f>'[1]capital disbursements'!N83</f>
        <v>4500.0200000000004</v>
      </c>
    </row>
    <row r="74" spans="1:17" x14ac:dyDescent="0.3">
      <c r="A74" s="139" t="s">
        <v>23</v>
      </c>
      <c r="B74" s="139" t="s">
        <v>23</v>
      </c>
      <c r="C74" s="139" t="s">
        <v>459</v>
      </c>
      <c r="D74" s="139" t="s">
        <v>460</v>
      </c>
      <c r="E74" s="140">
        <f>'[1]capital disbursements'!B108</f>
        <v>3511291.32</v>
      </c>
      <c r="F74" s="140">
        <f>'[1]capital disbursements'!C108</f>
        <v>3707699.65</v>
      </c>
      <c r="G74" s="140">
        <f>'[1]capital disbursements'!D108</f>
        <v>3737656.97</v>
      </c>
      <c r="H74" s="140">
        <f>'[1]capital disbursements'!E108</f>
        <v>5678823.2000000002</v>
      </c>
      <c r="I74" s="140">
        <f>'[1]capital disbursements'!F108</f>
        <v>5872604.6299999999</v>
      </c>
      <c r="J74" s="140">
        <f>'[1]capital disbursements'!G108</f>
        <v>6064945.3799999999</v>
      </c>
      <c r="K74" s="140">
        <f>'[1]capital disbursements'!H108</f>
        <v>6326548.7699999996</v>
      </c>
      <c r="L74" s="140">
        <f>'[1]capital disbursements'!I108</f>
        <v>6184635.3300000001</v>
      </c>
      <c r="M74" s="140">
        <f>'[1]capital disbursements'!J108</f>
        <v>6645468.4000000004</v>
      </c>
      <c r="N74" s="140">
        <f>'[1]capital disbursements'!K108</f>
        <v>7199701.1299999999</v>
      </c>
      <c r="O74" s="140">
        <f>'[1]capital disbursements'!L108</f>
        <v>7462492.8700000001</v>
      </c>
      <c r="P74" s="140">
        <f>'[1]capital disbursements'!M108</f>
        <v>8407558.0099999998</v>
      </c>
      <c r="Q74" s="140">
        <f>'[1]capital disbursements'!N108</f>
        <v>9038648.1600000001</v>
      </c>
    </row>
    <row r="75" spans="1:17" x14ac:dyDescent="0.3">
      <c r="A75" s="139" t="s">
        <v>23</v>
      </c>
      <c r="B75" s="139" t="s">
        <v>23</v>
      </c>
      <c r="C75" s="139" t="s">
        <v>461</v>
      </c>
      <c r="D75" s="139" t="s">
        <v>462</v>
      </c>
      <c r="E75" s="140">
        <f>'[1]capital disbursements'!B156</f>
        <v>30999.919999999998</v>
      </c>
      <c r="F75" s="140">
        <f>'[1]capital disbursements'!C156</f>
        <v>41921.53</v>
      </c>
      <c r="G75" s="140">
        <f>'[1]capital disbursements'!D156</f>
        <v>47271.94</v>
      </c>
      <c r="H75" s="140">
        <f>'[1]capital disbursements'!E156</f>
        <v>60011.39</v>
      </c>
      <c r="I75" s="140">
        <f>'[1]capital disbursements'!F156</f>
        <v>82136.179999999993</v>
      </c>
      <c r="J75" s="140">
        <f>'[1]capital disbursements'!G156</f>
        <v>54667.46</v>
      </c>
      <c r="K75" s="140">
        <f>'[1]capital disbursements'!H156</f>
        <v>45141.77</v>
      </c>
      <c r="L75" s="140">
        <f>'[1]capital disbursements'!I156</f>
        <v>249845.55</v>
      </c>
      <c r="M75" s="140">
        <f>'[1]capital disbursements'!J156</f>
        <v>261704.42</v>
      </c>
      <c r="N75" s="140">
        <f>'[1]capital disbursements'!K156</f>
        <v>142058.23000000001</v>
      </c>
      <c r="O75" s="140">
        <f>'[1]capital disbursements'!L156</f>
        <v>191309.67</v>
      </c>
      <c r="P75" s="140">
        <f>'[1]capital disbursements'!M156</f>
        <v>240977.05</v>
      </c>
      <c r="Q75" s="140">
        <f>'[1]capital disbursements'!N156</f>
        <v>298229.02</v>
      </c>
    </row>
    <row r="76" spans="1:17" x14ac:dyDescent="0.3">
      <c r="A76" s="139" t="s">
        <v>23</v>
      </c>
      <c r="B76" s="139" t="s">
        <v>23</v>
      </c>
      <c r="C76" s="139" t="s">
        <v>461</v>
      </c>
      <c r="D76" s="139" t="s">
        <v>463</v>
      </c>
      <c r="E76" s="140">
        <f>'[1]capital disbursements'!B148</f>
        <v>11008.1</v>
      </c>
      <c r="F76" s="140">
        <f>'[1]capital disbursements'!C148</f>
        <v>11939.76</v>
      </c>
      <c r="G76" s="140">
        <f>'[1]capital disbursements'!D148</f>
        <v>12504.1</v>
      </c>
      <c r="H76" s="140">
        <f>'[1]capital disbursements'!E148</f>
        <v>17768.59</v>
      </c>
      <c r="I76" s="140">
        <f>'[1]capital disbursements'!F148</f>
        <v>17516.169999999998</v>
      </c>
      <c r="J76" s="140">
        <f>'[1]capital disbursements'!G148</f>
        <v>23828.76</v>
      </c>
      <c r="K76" s="140">
        <f>'[1]capital disbursements'!H148</f>
        <v>24681.05</v>
      </c>
      <c r="L76" s="140">
        <f>'[1]capital disbursements'!I148</f>
        <v>148803.93</v>
      </c>
      <c r="M76" s="140">
        <f>'[1]capital disbursements'!J148</f>
        <v>185136.11</v>
      </c>
      <c r="N76" s="140">
        <f>'[1]capital disbursements'!K148</f>
        <v>109385.35</v>
      </c>
      <c r="O76" s="140">
        <f>'[1]capital disbursements'!L148</f>
        <v>140863.34</v>
      </c>
      <c r="P76" s="140">
        <f>'[1]capital disbursements'!M148</f>
        <v>159512</v>
      </c>
      <c r="Q76" s="140">
        <f>'[1]capital disbursements'!N148</f>
        <v>192833</v>
      </c>
    </row>
  </sheetData>
  <mergeCells count="1">
    <mergeCell ref="A1:R1"/>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8AEA8-180A-4CD7-A145-244994920B38}">
  <dimension ref="A1:N122"/>
  <sheetViews>
    <sheetView topLeftCell="B87" zoomScale="64" workbookViewId="0">
      <selection activeCell="B120" sqref="B120"/>
    </sheetView>
  </sheetViews>
  <sheetFormatPr defaultRowHeight="14.4" x14ac:dyDescent="0.3"/>
  <cols>
    <col min="1" max="1" width="73" customWidth="1"/>
    <col min="2" max="2" width="16.44140625" customWidth="1"/>
    <col min="3" max="3" width="19.21875" customWidth="1"/>
    <col min="4" max="5" width="13.88671875" customWidth="1"/>
    <col min="6" max="6" width="12.88671875" customWidth="1"/>
    <col min="7" max="7" width="14.6640625" customWidth="1"/>
    <col min="8" max="8" width="12.5546875" customWidth="1"/>
    <col min="9" max="9" width="12.6640625" customWidth="1"/>
    <col min="10" max="10" width="14.77734375" customWidth="1"/>
    <col min="11" max="11" width="19" customWidth="1"/>
    <col min="12" max="12" width="12.6640625" customWidth="1"/>
    <col min="13" max="13" width="15.77734375" customWidth="1"/>
    <col min="14" max="14" width="13.44140625" customWidth="1"/>
    <col min="17" max="17" width="21.5546875" customWidth="1"/>
  </cols>
  <sheetData>
    <row r="1" spans="1:14" ht="17.399999999999999" customHeight="1" x14ac:dyDescent="0.3">
      <c r="A1" s="164" t="s">
        <v>323</v>
      </c>
      <c r="B1" s="164"/>
      <c r="C1" s="164"/>
      <c r="D1" s="164"/>
      <c r="E1" s="164"/>
      <c r="F1" s="164"/>
      <c r="G1" s="164"/>
      <c r="H1" s="164"/>
      <c r="I1" s="164"/>
      <c r="J1" s="164"/>
      <c r="K1" s="164"/>
      <c r="L1" s="164"/>
      <c r="M1" s="164"/>
      <c r="N1" s="164"/>
    </row>
    <row r="2" spans="1:14" ht="46.8" x14ac:dyDescent="0.3">
      <c r="A2" s="112" t="s">
        <v>234</v>
      </c>
      <c r="B2" s="85" t="s">
        <v>39</v>
      </c>
      <c r="C2" s="85" t="s">
        <v>40</v>
      </c>
      <c r="D2" s="85" t="s">
        <v>41</v>
      </c>
      <c r="E2" s="85" t="s">
        <v>42</v>
      </c>
      <c r="F2" s="85" t="s">
        <v>43</v>
      </c>
      <c r="G2" s="85" t="s">
        <v>44</v>
      </c>
      <c r="H2" s="85" t="s">
        <v>45</v>
      </c>
      <c r="I2" s="85" t="s">
        <v>46</v>
      </c>
      <c r="J2" s="85" t="s">
        <v>47</v>
      </c>
      <c r="K2" s="85" t="s">
        <v>48</v>
      </c>
      <c r="L2" s="85" t="s">
        <v>49</v>
      </c>
      <c r="M2" s="85" t="s">
        <v>50</v>
      </c>
      <c r="N2" s="85" t="s">
        <v>51</v>
      </c>
    </row>
    <row r="3" spans="1:14" ht="15.6" x14ac:dyDescent="0.3">
      <c r="A3" s="51" t="s">
        <v>324</v>
      </c>
      <c r="B3" s="48"/>
      <c r="C3" s="48"/>
      <c r="D3" s="48"/>
      <c r="E3" s="48"/>
      <c r="F3" s="48"/>
      <c r="G3" s="48"/>
      <c r="H3" s="48"/>
      <c r="I3" s="48"/>
      <c r="J3" s="48"/>
      <c r="K3" s="48"/>
      <c r="L3" s="48"/>
      <c r="M3" s="48"/>
      <c r="N3" s="48"/>
    </row>
    <row r="4" spans="1:14" ht="15.6" x14ac:dyDescent="0.3">
      <c r="A4" s="69" t="s">
        <v>325</v>
      </c>
      <c r="B4" s="115">
        <v>0</v>
      </c>
      <c r="C4" s="59">
        <v>0</v>
      </c>
      <c r="D4" s="59">
        <v>0</v>
      </c>
      <c r="E4" s="59">
        <v>0</v>
      </c>
      <c r="F4" s="116">
        <f>SUM(F5:F8)</f>
        <v>444196.53</v>
      </c>
      <c r="G4" s="56">
        <f>SUM(G5:G8)</f>
        <v>584337.5</v>
      </c>
      <c r="H4" s="67">
        <f>SUM(H5:H8)</f>
        <v>601783.88</v>
      </c>
      <c r="I4" s="67">
        <v>551541.51</v>
      </c>
      <c r="J4" s="55">
        <v>702412.82</v>
      </c>
      <c r="K4" s="56">
        <v>853900.57</v>
      </c>
      <c r="L4" s="117">
        <v>962704.98</v>
      </c>
      <c r="M4" s="118">
        <v>1066839</v>
      </c>
      <c r="N4" s="118">
        <v>1183355</v>
      </c>
    </row>
    <row r="5" spans="1:14" ht="15.6" x14ac:dyDescent="0.3">
      <c r="A5" s="48" t="s">
        <v>326</v>
      </c>
      <c r="B5" s="115">
        <v>0</v>
      </c>
      <c r="C5" s="59">
        <v>0</v>
      </c>
      <c r="D5" s="59">
        <v>0</v>
      </c>
      <c r="E5" s="59">
        <v>0</v>
      </c>
      <c r="F5" s="60">
        <v>203261.4</v>
      </c>
      <c r="G5" s="60">
        <v>457534.01</v>
      </c>
      <c r="H5" s="61">
        <v>494070.6</v>
      </c>
      <c r="I5" s="61">
        <v>456333.97</v>
      </c>
      <c r="J5" s="59">
        <v>591226.14</v>
      </c>
      <c r="K5" s="60">
        <v>718521.75</v>
      </c>
      <c r="L5" s="119">
        <v>820622.09</v>
      </c>
      <c r="M5" s="119">
        <v>908459</v>
      </c>
      <c r="N5" s="119">
        <v>1010890</v>
      </c>
    </row>
    <row r="6" spans="1:14" ht="15.6" x14ac:dyDescent="0.3">
      <c r="A6" s="48" t="s">
        <v>327</v>
      </c>
      <c r="B6" s="115">
        <v>0</v>
      </c>
      <c r="C6" s="59">
        <v>0</v>
      </c>
      <c r="D6" s="59">
        <v>0</v>
      </c>
      <c r="E6" s="59">
        <v>0</v>
      </c>
      <c r="F6" s="60">
        <v>1635.1</v>
      </c>
      <c r="G6" s="60">
        <v>2778.2</v>
      </c>
      <c r="H6" s="61">
        <v>3034.98</v>
      </c>
      <c r="I6" s="61">
        <v>2764.2</v>
      </c>
      <c r="J6" s="59">
        <v>4298.9399999999996</v>
      </c>
      <c r="K6" s="60">
        <v>4768.12</v>
      </c>
      <c r="L6" s="119">
        <v>5497.16</v>
      </c>
      <c r="M6" s="119">
        <v>4940</v>
      </c>
      <c r="N6" s="119">
        <v>5355</v>
      </c>
    </row>
    <row r="7" spans="1:14" ht="15.6" x14ac:dyDescent="0.3">
      <c r="A7" s="48" t="s">
        <v>328</v>
      </c>
      <c r="B7" s="115">
        <v>0</v>
      </c>
      <c r="C7" s="59">
        <v>0</v>
      </c>
      <c r="D7" s="59">
        <v>0</v>
      </c>
      <c r="E7" s="59">
        <v>0</v>
      </c>
      <c r="F7" s="60">
        <v>176688.44</v>
      </c>
      <c r="G7" s="60">
        <v>28944.58</v>
      </c>
      <c r="H7" s="61">
        <v>9125.2099999999991</v>
      </c>
      <c r="I7" s="61">
        <v>7251.43</v>
      </c>
      <c r="J7" s="59">
        <v>2119.08</v>
      </c>
      <c r="K7" s="60">
        <v>4748.29</v>
      </c>
      <c r="L7" s="119">
        <v>-4850.43</v>
      </c>
      <c r="M7" s="119">
        <v>0</v>
      </c>
      <c r="N7" s="119">
        <v>0</v>
      </c>
    </row>
    <row r="8" spans="1:14" ht="15.6" x14ac:dyDescent="0.3">
      <c r="A8" s="48" t="s">
        <v>329</v>
      </c>
      <c r="B8" s="115">
        <v>0</v>
      </c>
      <c r="C8" s="59">
        <v>0</v>
      </c>
      <c r="D8" s="59">
        <v>0</v>
      </c>
      <c r="E8" s="59">
        <v>0</v>
      </c>
      <c r="F8" s="60">
        <v>62611.59</v>
      </c>
      <c r="G8" s="60">
        <v>95080.71</v>
      </c>
      <c r="H8" s="61">
        <v>95553.09</v>
      </c>
      <c r="I8" s="61">
        <v>85191.91</v>
      </c>
      <c r="J8" s="59">
        <v>104768.66</v>
      </c>
      <c r="K8" s="60">
        <v>125862.41</v>
      </c>
      <c r="L8" s="119">
        <v>141436.16</v>
      </c>
      <c r="M8" s="119">
        <v>153440</v>
      </c>
      <c r="N8" s="119">
        <v>167110</v>
      </c>
    </row>
    <row r="9" spans="1:14" ht="15.6" x14ac:dyDescent="0.3">
      <c r="A9" s="69" t="s">
        <v>330</v>
      </c>
      <c r="B9" s="120">
        <v>632517.30000000005</v>
      </c>
      <c r="C9" s="53">
        <v>687259.5</v>
      </c>
      <c r="D9" s="54">
        <v>733515.33</v>
      </c>
      <c r="E9" s="55">
        <v>840530.12</v>
      </c>
      <c r="F9" s="56">
        <v>990092.49</v>
      </c>
      <c r="G9" s="56">
        <v>1125046.98</v>
      </c>
      <c r="H9" s="69">
        <v>1037155.03</v>
      </c>
      <c r="I9" s="67">
        <v>927935.69</v>
      </c>
      <c r="J9" s="55">
        <v>1385089.52</v>
      </c>
      <c r="K9" s="56">
        <v>1634008.03</v>
      </c>
      <c r="L9" s="118">
        <v>1922033.48</v>
      </c>
      <c r="M9" s="118">
        <v>2182000</v>
      </c>
      <c r="N9" s="118">
        <v>2442000</v>
      </c>
    </row>
    <row r="10" spans="1:14" ht="15.6" x14ac:dyDescent="0.3">
      <c r="A10" s="48" t="s">
        <v>331</v>
      </c>
      <c r="B10" s="121">
        <v>394677.85</v>
      </c>
      <c r="C10" s="58">
        <v>428924.74</v>
      </c>
      <c r="D10" s="63">
        <v>453228.33</v>
      </c>
      <c r="E10" s="59">
        <v>484923.86</v>
      </c>
      <c r="F10" s="60">
        <v>571201.87</v>
      </c>
      <c r="G10" s="60">
        <v>663571.62</v>
      </c>
      <c r="H10" s="61">
        <v>556875.55000000005</v>
      </c>
      <c r="I10" s="61">
        <v>457718.97</v>
      </c>
      <c r="J10" s="59">
        <v>712037.33</v>
      </c>
      <c r="K10" s="60">
        <v>825833.64</v>
      </c>
      <c r="L10" s="119">
        <v>911055.01</v>
      </c>
      <c r="M10" s="119">
        <v>980000</v>
      </c>
      <c r="N10" s="119">
        <v>1082000</v>
      </c>
    </row>
    <row r="11" spans="1:14" ht="15.6" x14ac:dyDescent="0.3">
      <c r="A11" s="48" t="s">
        <v>332</v>
      </c>
      <c r="B11" s="121">
        <v>237817.23</v>
      </c>
      <c r="C11" s="58">
        <v>258325.65</v>
      </c>
      <c r="D11" s="63">
        <v>280322.5</v>
      </c>
      <c r="E11" s="59">
        <v>340504.5</v>
      </c>
      <c r="F11" s="60">
        <v>408091.43</v>
      </c>
      <c r="G11" s="60">
        <v>461487.51</v>
      </c>
      <c r="H11" s="61">
        <v>480348.14</v>
      </c>
      <c r="I11" s="61">
        <v>470391.24</v>
      </c>
      <c r="J11" s="59">
        <v>673100.48</v>
      </c>
      <c r="K11" s="60">
        <v>808221.32</v>
      </c>
      <c r="L11" s="119">
        <v>1010947.77</v>
      </c>
      <c r="M11" s="119">
        <v>1199300</v>
      </c>
      <c r="N11" s="119">
        <v>1357000</v>
      </c>
    </row>
    <row r="12" spans="1:14" ht="15.6" x14ac:dyDescent="0.3">
      <c r="A12" s="48" t="s">
        <v>333</v>
      </c>
      <c r="B12" s="121">
        <v>0.61</v>
      </c>
      <c r="C12" s="58">
        <v>0.94</v>
      </c>
      <c r="D12" s="63">
        <v>0.59</v>
      </c>
      <c r="E12" s="59">
        <v>0.48</v>
      </c>
      <c r="F12" s="60">
        <v>0.5</v>
      </c>
      <c r="G12" s="60">
        <v>0.44</v>
      </c>
      <c r="H12" s="61">
        <v>1.26</v>
      </c>
      <c r="I12" s="61">
        <v>0.3</v>
      </c>
      <c r="J12" s="59">
        <v>0.25</v>
      </c>
      <c r="K12" s="60">
        <v>0.66</v>
      </c>
      <c r="L12" s="119">
        <v>0.34</v>
      </c>
      <c r="M12" s="119">
        <v>0</v>
      </c>
      <c r="N12" s="119">
        <v>0</v>
      </c>
    </row>
    <row r="13" spans="1:14" ht="15.6" x14ac:dyDescent="0.3">
      <c r="A13" s="48" t="s">
        <v>334</v>
      </c>
      <c r="B13" s="121">
        <v>8</v>
      </c>
      <c r="C13" s="58">
        <v>5.58</v>
      </c>
      <c r="D13" s="63">
        <v>5.31</v>
      </c>
      <c r="E13" s="59">
        <v>4.9800000000000004</v>
      </c>
      <c r="F13" s="60">
        <v>4.45</v>
      </c>
      <c r="G13" s="60">
        <v>3.19</v>
      </c>
      <c r="H13" s="61">
        <v>2.09</v>
      </c>
      <c r="I13" s="61">
        <v>2.36</v>
      </c>
      <c r="J13" s="59">
        <v>3.96</v>
      </c>
      <c r="K13" s="60">
        <v>8.4600000000000009</v>
      </c>
      <c r="L13" s="119">
        <v>19.93</v>
      </c>
      <c r="M13" s="119">
        <v>0</v>
      </c>
      <c r="N13" s="119">
        <v>0</v>
      </c>
    </row>
    <row r="14" spans="1:14" ht="15.6" x14ac:dyDescent="0.3">
      <c r="A14" s="48" t="s">
        <v>335</v>
      </c>
      <c r="B14" s="121">
        <v>4.71</v>
      </c>
      <c r="C14" s="58">
        <v>-8.27</v>
      </c>
      <c r="D14" s="63">
        <v>-45.82</v>
      </c>
      <c r="E14" s="59">
        <v>-66.89</v>
      </c>
      <c r="F14" s="60">
        <v>-93.29</v>
      </c>
      <c r="G14" s="60">
        <v>-31.59</v>
      </c>
      <c r="H14" s="61">
        <v>-135.27000000000001</v>
      </c>
      <c r="I14" s="61">
        <v>-181.86</v>
      </c>
      <c r="J14" s="59">
        <v>-54.98</v>
      </c>
      <c r="K14" s="60">
        <v>-74.56</v>
      </c>
      <c r="L14" s="119">
        <v>-4.46</v>
      </c>
      <c r="M14" s="119">
        <v>0</v>
      </c>
      <c r="N14" s="119">
        <v>0</v>
      </c>
    </row>
    <row r="15" spans="1:14" ht="15.6" x14ac:dyDescent="0.3">
      <c r="A15" s="48" t="s">
        <v>336</v>
      </c>
      <c r="B15" s="121">
        <v>8.9</v>
      </c>
      <c r="C15" s="58">
        <v>10.86</v>
      </c>
      <c r="D15" s="63">
        <v>4.42</v>
      </c>
      <c r="E15" s="59">
        <v>15163.19</v>
      </c>
      <c r="F15" s="60">
        <v>10887.53</v>
      </c>
      <c r="G15" s="60">
        <v>15.81</v>
      </c>
      <c r="H15" s="61">
        <v>63.26</v>
      </c>
      <c r="I15" s="61">
        <v>4.68</v>
      </c>
      <c r="J15" s="59">
        <v>2.48</v>
      </c>
      <c r="K15" s="60">
        <v>18.510000000000002</v>
      </c>
      <c r="L15" s="119">
        <v>14.89</v>
      </c>
      <c r="M15" s="119">
        <v>2700</v>
      </c>
      <c r="N15" s="119">
        <v>3000</v>
      </c>
    </row>
    <row r="16" spans="1:14" ht="15.6" x14ac:dyDescent="0.3">
      <c r="A16" s="69" t="s">
        <v>337</v>
      </c>
      <c r="B16" s="122">
        <f>SUM(B18:B21)</f>
        <v>6025.37</v>
      </c>
      <c r="C16" s="69">
        <f>SUM(C17:C21)</f>
        <v>8484.36</v>
      </c>
      <c r="D16" s="69">
        <f>SUM(D17:D21)</f>
        <v>8429.3799999999992</v>
      </c>
      <c r="E16" s="116">
        <f>SUM(E17:E21)</f>
        <v>9183.26</v>
      </c>
      <c r="F16" s="69">
        <f>SUM(F17:F21)</f>
        <v>11944.83</v>
      </c>
      <c r="G16" s="56">
        <v>11568.36</v>
      </c>
      <c r="H16" s="67">
        <v>12394.04</v>
      </c>
      <c r="I16" s="67">
        <v>16938.84</v>
      </c>
      <c r="J16" s="55">
        <v>23203.82</v>
      </c>
      <c r="K16" s="56">
        <v>25076.35</v>
      </c>
      <c r="L16" s="118">
        <v>33785.519999999997</v>
      </c>
      <c r="M16" s="118">
        <v>55000</v>
      </c>
      <c r="N16" s="118">
        <v>78000</v>
      </c>
    </row>
    <row r="17" spans="1:14" ht="15.6" x14ac:dyDescent="0.3">
      <c r="A17" s="48" t="s">
        <v>338</v>
      </c>
      <c r="B17" s="123">
        <v>0</v>
      </c>
      <c r="C17" s="62" t="s">
        <v>55</v>
      </c>
      <c r="D17" s="62" t="s">
        <v>55</v>
      </c>
      <c r="E17" s="59">
        <v>0</v>
      </c>
      <c r="F17" s="62" t="s">
        <v>55</v>
      </c>
      <c r="G17" s="62" t="s">
        <v>55</v>
      </c>
      <c r="H17" s="62" t="s">
        <v>55</v>
      </c>
      <c r="I17" s="61" t="s">
        <v>55</v>
      </c>
      <c r="J17" s="59">
        <v>0.46</v>
      </c>
      <c r="K17" s="60">
        <v>0.2</v>
      </c>
      <c r="L17" s="119">
        <v>0.31</v>
      </c>
      <c r="M17" s="119">
        <v>0</v>
      </c>
      <c r="N17" s="119">
        <v>0</v>
      </c>
    </row>
    <row r="18" spans="1:14" ht="15.6" x14ac:dyDescent="0.3">
      <c r="A18" s="48" t="s">
        <v>339</v>
      </c>
      <c r="B18" s="121">
        <v>0.53</v>
      </c>
      <c r="C18" s="58">
        <v>0.49</v>
      </c>
      <c r="D18" s="119">
        <v>0</v>
      </c>
      <c r="E18" s="119">
        <v>0</v>
      </c>
      <c r="F18" s="119">
        <v>0</v>
      </c>
      <c r="G18" s="119">
        <v>0</v>
      </c>
      <c r="H18" s="119">
        <v>0</v>
      </c>
      <c r="I18" s="119">
        <v>0</v>
      </c>
      <c r="J18" s="119">
        <v>0</v>
      </c>
      <c r="K18" s="119">
        <v>0</v>
      </c>
      <c r="L18" s="119"/>
      <c r="M18" s="119"/>
      <c r="N18" s="119">
        <v>0</v>
      </c>
    </row>
    <row r="19" spans="1:14" ht="15.6" x14ac:dyDescent="0.3">
      <c r="A19" s="48" t="s">
        <v>340</v>
      </c>
      <c r="B19" s="121">
        <v>0.44</v>
      </c>
      <c r="C19" s="58">
        <v>0.22</v>
      </c>
      <c r="D19" s="63">
        <v>0.67</v>
      </c>
      <c r="E19" s="59">
        <v>0.67</v>
      </c>
      <c r="F19" s="60">
        <v>0.84</v>
      </c>
      <c r="G19" s="60">
        <v>1.1200000000000001</v>
      </c>
      <c r="H19" s="61">
        <v>1.7</v>
      </c>
      <c r="I19" s="61">
        <v>1.38</v>
      </c>
      <c r="J19" s="59">
        <v>1.74</v>
      </c>
      <c r="K19" s="60">
        <v>1.06</v>
      </c>
      <c r="L19" s="119">
        <v>1.31</v>
      </c>
      <c r="M19" s="119">
        <v>0</v>
      </c>
      <c r="N19" s="119">
        <v>0</v>
      </c>
    </row>
    <row r="20" spans="1:14" ht="15.6" x14ac:dyDescent="0.3">
      <c r="A20" s="48" t="s">
        <v>341</v>
      </c>
      <c r="B20" s="121">
        <v>1006.9</v>
      </c>
      <c r="C20" s="58">
        <v>1085.5</v>
      </c>
      <c r="D20" s="63">
        <v>1078.5899999999999</v>
      </c>
      <c r="E20" s="59">
        <v>184.47</v>
      </c>
      <c r="F20" s="60">
        <v>62.59</v>
      </c>
      <c r="G20" s="60">
        <v>39.74</v>
      </c>
      <c r="H20" s="61">
        <v>18.11</v>
      </c>
      <c r="I20" s="61">
        <v>10.47</v>
      </c>
      <c r="J20" s="59">
        <v>10.59</v>
      </c>
      <c r="K20" s="60">
        <v>-10.28</v>
      </c>
      <c r="L20" s="119">
        <v>6.12</v>
      </c>
      <c r="M20" s="119">
        <v>0</v>
      </c>
      <c r="N20" s="119">
        <v>0</v>
      </c>
    </row>
    <row r="21" spans="1:14" ht="15.6" x14ac:dyDescent="0.3">
      <c r="A21" s="48" t="s">
        <v>342</v>
      </c>
      <c r="B21" s="121">
        <v>5017.5</v>
      </c>
      <c r="C21" s="58">
        <v>7398.15</v>
      </c>
      <c r="D21" s="63">
        <v>7350.12</v>
      </c>
      <c r="E21" s="59">
        <v>8998.1200000000008</v>
      </c>
      <c r="F21" s="60">
        <v>11881.4</v>
      </c>
      <c r="G21" s="60">
        <v>11527.5</v>
      </c>
      <c r="H21" s="61">
        <v>12374.23</v>
      </c>
      <c r="I21" s="61">
        <v>16926.990000000002</v>
      </c>
      <c r="J21" s="59">
        <v>23191.03</v>
      </c>
      <c r="K21" s="60">
        <v>25085.37</v>
      </c>
      <c r="L21" s="119">
        <v>33777.78</v>
      </c>
      <c r="M21" s="119">
        <v>55000</v>
      </c>
      <c r="N21" s="119">
        <v>78000</v>
      </c>
    </row>
    <row r="22" spans="1:14" ht="15.6" x14ac:dyDescent="0.3">
      <c r="A22" s="69" t="s">
        <v>343</v>
      </c>
      <c r="B22" s="122">
        <f t="shared" ref="B22:H22" si="0">SUM(B23:B28)</f>
        <v>497322.97000000009</v>
      </c>
      <c r="C22" s="116">
        <f t="shared" si="0"/>
        <v>546188.14</v>
      </c>
      <c r="D22" s="116">
        <f t="shared" si="0"/>
        <v>710068.12</v>
      </c>
      <c r="E22" s="116">
        <f t="shared" si="0"/>
        <v>862109.13</v>
      </c>
      <c r="F22" s="116">
        <f t="shared" si="0"/>
        <v>469864.1</v>
      </c>
      <c r="G22" s="116">
        <f t="shared" si="0"/>
        <v>356698.37</v>
      </c>
      <c r="H22" s="69">
        <f t="shared" si="0"/>
        <v>355926.17</v>
      </c>
      <c r="I22" s="67">
        <v>528115.66</v>
      </c>
      <c r="J22" s="55">
        <v>595383.93000000005</v>
      </c>
      <c r="K22" s="56">
        <v>537263.52</v>
      </c>
      <c r="L22" s="118">
        <v>543249.51</v>
      </c>
      <c r="M22" s="118">
        <v>545100</v>
      </c>
      <c r="N22" s="118">
        <v>562100</v>
      </c>
    </row>
    <row r="23" spans="1:14" ht="15.6" x14ac:dyDescent="0.3">
      <c r="A23" s="48" t="s">
        <v>344</v>
      </c>
      <c r="B23" s="121">
        <v>0.01</v>
      </c>
      <c r="C23" s="59">
        <v>0</v>
      </c>
      <c r="D23" s="59">
        <v>0</v>
      </c>
      <c r="E23" s="59">
        <v>0</v>
      </c>
      <c r="F23" s="60">
        <v>0.01</v>
      </c>
      <c r="G23" s="60">
        <v>0</v>
      </c>
      <c r="H23" s="62" t="s">
        <v>55</v>
      </c>
      <c r="I23" s="61">
        <v>1.89</v>
      </c>
      <c r="J23" s="59">
        <v>0.02</v>
      </c>
      <c r="K23" s="60">
        <v>736.3</v>
      </c>
      <c r="L23" s="119">
        <v>414.32</v>
      </c>
      <c r="M23" s="119">
        <v>0</v>
      </c>
      <c r="N23" s="119">
        <v>0</v>
      </c>
    </row>
    <row r="24" spans="1:14" ht="15.6" x14ac:dyDescent="0.3">
      <c r="A24" s="48" t="s">
        <v>246</v>
      </c>
      <c r="B24" s="121">
        <v>172085.42</v>
      </c>
      <c r="C24" s="58">
        <v>188016.19</v>
      </c>
      <c r="D24" s="63">
        <v>210338</v>
      </c>
      <c r="E24" s="59">
        <v>225370.34</v>
      </c>
      <c r="F24" s="60">
        <v>129029.92</v>
      </c>
      <c r="G24" s="60">
        <v>117812.85</v>
      </c>
      <c r="H24" s="61">
        <v>109282.54</v>
      </c>
      <c r="I24" s="61">
        <v>134750.39000000001</v>
      </c>
      <c r="J24" s="59">
        <v>199728.3</v>
      </c>
      <c r="K24" s="60">
        <v>213372.09</v>
      </c>
      <c r="L24" s="119">
        <v>233118.97</v>
      </c>
      <c r="M24" s="119">
        <v>235000</v>
      </c>
      <c r="N24" s="119">
        <v>240000</v>
      </c>
    </row>
    <row r="25" spans="1:14" ht="15.6" x14ac:dyDescent="0.3">
      <c r="A25" s="48" t="s">
        <v>247</v>
      </c>
      <c r="B25" s="121">
        <v>169455.14</v>
      </c>
      <c r="C25" s="58">
        <v>188127.6</v>
      </c>
      <c r="D25" s="63">
        <v>287148.55</v>
      </c>
      <c r="E25" s="59">
        <v>380495.43</v>
      </c>
      <c r="F25" s="60">
        <v>258635.93</v>
      </c>
      <c r="G25" s="60">
        <v>230992.59</v>
      </c>
      <c r="H25" s="61">
        <v>239452.43</v>
      </c>
      <c r="I25" s="61">
        <v>389667.08</v>
      </c>
      <c r="J25" s="59">
        <v>390808.07</v>
      </c>
      <c r="K25" s="60">
        <v>319000.11</v>
      </c>
      <c r="L25" s="119">
        <v>305362.18</v>
      </c>
      <c r="M25" s="119">
        <v>305000</v>
      </c>
      <c r="N25" s="119">
        <v>317000</v>
      </c>
    </row>
    <row r="26" spans="1:14" ht="15.6" x14ac:dyDescent="0.3">
      <c r="A26" s="48" t="s">
        <v>345</v>
      </c>
      <c r="B26" s="121">
        <v>0.75</v>
      </c>
      <c r="C26" s="58">
        <v>0.85</v>
      </c>
      <c r="D26" s="63" t="s">
        <v>54</v>
      </c>
      <c r="E26" s="59">
        <v>0</v>
      </c>
      <c r="F26" s="60">
        <v>0</v>
      </c>
      <c r="G26" s="60">
        <v>0</v>
      </c>
      <c r="H26" s="65" t="s">
        <v>54</v>
      </c>
      <c r="I26" s="65" t="s">
        <v>54</v>
      </c>
      <c r="J26" s="59">
        <v>0</v>
      </c>
      <c r="K26" s="60">
        <v>0</v>
      </c>
      <c r="L26" s="119">
        <v>0</v>
      </c>
      <c r="M26" s="119">
        <v>0</v>
      </c>
      <c r="N26" s="119">
        <v>0</v>
      </c>
    </row>
    <row r="27" spans="1:14" ht="15.6" x14ac:dyDescent="0.3">
      <c r="A27" s="48" t="s">
        <v>346</v>
      </c>
      <c r="B27" s="121">
        <v>154778.12</v>
      </c>
      <c r="C27" s="58">
        <v>167969.04</v>
      </c>
      <c r="D27" s="63">
        <v>211414.25</v>
      </c>
      <c r="E27" s="59">
        <v>254498.74</v>
      </c>
      <c r="F27" s="60">
        <v>81228.070000000007</v>
      </c>
      <c r="G27" s="60">
        <v>6903.62</v>
      </c>
      <c r="H27" s="61">
        <v>6029.11</v>
      </c>
      <c r="I27" s="61">
        <v>1614.84</v>
      </c>
      <c r="J27" s="59">
        <v>1011.82</v>
      </c>
      <c r="K27" s="60">
        <v>430.77</v>
      </c>
      <c r="L27" s="119">
        <v>424.96</v>
      </c>
      <c r="M27" s="119">
        <v>100</v>
      </c>
      <c r="N27" s="119">
        <v>100</v>
      </c>
    </row>
    <row r="28" spans="1:14" ht="15.6" x14ac:dyDescent="0.3">
      <c r="A28" s="48" t="s">
        <v>347</v>
      </c>
      <c r="B28" s="121">
        <v>1003.53</v>
      </c>
      <c r="C28" s="58">
        <v>2074.46</v>
      </c>
      <c r="D28" s="63">
        <v>1167.32</v>
      </c>
      <c r="E28" s="59">
        <v>1744.62</v>
      </c>
      <c r="F28" s="60">
        <v>970.17</v>
      </c>
      <c r="G28" s="60">
        <v>989.31</v>
      </c>
      <c r="H28" s="61">
        <v>1162.0899999999999</v>
      </c>
      <c r="I28" s="61">
        <v>2081.46</v>
      </c>
      <c r="J28" s="59">
        <v>3835.72</v>
      </c>
      <c r="K28" s="60">
        <v>3724.25</v>
      </c>
      <c r="L28" s="119">
        <v>3929.08</v>
      </c>
      <c r="M28" s="119">
        <v>5000</v>
      </c>
      <c r="N28" s="119">
        <v>5000</v>
      </c>
    </row>
    <row r="29" spans="1:14" ht="15.6" x14ac:dyDescent="0.3">
      <c r="A29" s="69" t="s">
        <v>348</v>
      </c>
      <c r="B29" s="120">
        <v>3129.83</v>
      </c>
      <c r="C29" s="53">
        <v>3203.75</v>
      </c>
      <c r="D29" s="54">
        <v>3878.26</v>
      </c>
      <c r="E29" s="55">
        <v>4145.53</v>
      </c>
      <c r="F29" s="56">
        <v>3085.58</v>
      </c>
      <c r="G29" s="56">
        <v>2814.22</v>
      </c>
      <c r="H29" s="67">
        <v>2800.21</v>
      </c>
      <c r="I29" s="67">
        <v>2572.14</v>
      </c>
      <c r="J29" s="55">
        <v>3224.99</v>
      </c>
      <c r="K29" s="56">
        <v>3943.17</v>
      </c>
      <c r="L29" s="118">
        <v>3745.09</v>
      </c>
      <c r="M29" s="118">
        <v>4516.01</v>
      </c>
      <c r="N29" s="118">
        <v>4778</v>
      </c>
    </row>
    <row r="30" spans="1:14" ht="15.6" x14ac:dyDescent="0.3">
      <c r="A30" s="69" t="s">
        <v>349</v>
      </c>
      <c r="B30" s="120">
        <v>1138995.47</v>
      </c>
      <c r="C30" s="53">
        <v>1245135.75</v>
      </c>
      <c r="D30" s="54">
        <v>1455891.09</v>
      </c>
      <c r="E30" s="55">
        <v>1715968.04</v>
      </c>
      <c r="F30" s="56">
        <v>1919183.53</v>
      </c>
      <c r="G30" s="56">
        <v>2080465.43</v>
      </c>
      <c r="H30" s="67">
        <v>2010059.33</v>
      </c>
      <c r="I30" s="67">
        <v>2027103.84</v>
      </c>
      <c r="J30" s="55">
        <v>2709315.08</v>
      </c>
      <c r="K30" s="56">
        <v>3054191.64</v>
      </c>
      <c r="L30" s="118">
        <v>3465518.58</v>
      </c>
      <c r="M30" s="118">
        <v>3853455.01</v>
      </c>
      <c r="N30" s="118">
        <v>4270233</v>
      </c>
    </row>
    <row r="31" spans="1:14" ht="15.6" x14ac:dyDescent="0.3">
      <c r="A31" s="69" t="s">
        <v>350</v>
      </c>
      <c r="B31" s="120">
        <v>318229.58</v>
      </c>
      <c r="C31" s="53">
        <v>337808.45</v>
      </c>
      <c r="D31" s="54">
        <v>506192.96</v>
      </c>
      <c r="E31" s="55">
        <v>608000.31000000006</v>
      </c>
      <c r="F31" s="56">
        <v>673005.29</v>
      </c>
      <c r="G31" s="56">
        <v>761454.15</v>
      </c>
      <c r="H31" s="67">
        <v>650677.05000000005</v>
      </c>
      <c r="I31" s="67">
        <v>594996.76</v>
      </c>
      <c r="J31" s="55">
        <v>898391.57</v>
      </c>
      <c r="K31" s="56">
        <v>948405.82</v>
      </c>
      <c r="L31" s="118">
        <v>1129493.71</v>
      </c>
      <c r="M31" s="118">
        <v>1286885.44</v>
      </c>
      <c r="N31" s="118">
        <v>1422444.11</v>
      </c>
    </row>
    <row r="32" spans="1:14" ht="15.6" x14ac:dyDescent="0.3">
      <c r="A32" s="69" t="s">
        <v>351</v>
      </c>
      <c r="B32" s="120">
        <v>820765.89</v>
      </c>
      <c r="C32" s="53">
        <v>907327.3</v>
      </c>
      <c r="D32" s="54">
        <v>949698.13</v>
      </c>
      <c r="E32" s="55">
        <v>1107967.73</v>
      </c>
      <c r="F32" s="56">
        <v>1246178.24</v>
      </c>
      <c r="G32" s="56">
        <v>1319011.28</v>
      </c>
      <c r="H32" s="67">
        <v>1359382.28</v>
      </c>
      <c r="I32" s="67">
        <v>1432107.08</v>
      </c>
      <c r="J32" s="55">
        <v>1810923.51</v>
      </c>
      <c r="K32" s="56">
        <v>2105785.8199999998</v>
      </c>
      <c r="L32" s="118">
        <v>2336024.87</v>
      </c>
      <c r="M32" s="118">
        <v>2566569.5699999998</v>
      </c>
      <c r="N32" s="118">
        <v>2847788.89</v>
      </c>
    </row>
    <row r="33" spans="1:14" ht="15.6" x14ac:dyDescent="0.3">
      <c r="A33" s="69"/>
      <c r="B33" s="120"/>
      <c r="C33" s="48"/>
      <c r="D33" s="48"/>
      <c r="E33" s="48"/>
      <c r="F33" s="48"/>
      <c r="G33" s="48"/>
      <c r="H33" s="48"/>
      <c r="I33" s="48"/>
      <c r="J33" s="48"/>
      <c r="K33" s="48"/>
      <c r="L33" s="48"/>
      <c r="M33" s="48"/>
      <c r="N33" s="48"/>
    </row>
    <row r="34" spans="1:14" ht="15.6" x14ac:dyDescent="0.3">
      <c r="A34" s="51" t="s">
        <v>352</v>
      </c>
      <c r="B34" s="48"/>
      <c r="C34" s="48"/>
      <c r="D34" s="48"/>
      <c r="E34" s="48"/>
      <c r="F34" s="48"/>
      <c r="G34" s="48"/>
      <c r="H34" s="48"/>
      <c r="I34" s="48"/>
      <c r="J34" s="48"/>
      <c r="K34" s="48"/>
      <c r="L34" s="48"/>
      <c r="M34" s="48"/>
      <c r="N34" s="48"/>
    </row>
    <row r="35" spans="1:14" ht="15.6" x14ac:dyDescent="0.3">
      <c r="A35" s="69" t="s">
        <v>353</v>
      </c>
      <c r="B35" s="120">
        <v>883.77</v>
      </c>
      <c r="C35" s="53">
        <v>1393.59</v>
      </c>
      <c r="D35" s="54">
        <v>630.14</v>
      </c>
      <c r="E35" s="55">
        <v>764.85</v>
      </c>
      <c r="F35" s="56">
        <v>460.13</v>
      </c>
      <c r="G35" s="56">
        <v>743.71</v>
      </c>
      <c r="H35" s="67">
        <v>1041.06</v>
      </c>
      <c r="I35" s="67">
        <v>1168.8</v>
      </c>
      <c r="J35" s="55">
        <v>193.26</v>
      </c>
      <c r="K35" s="56">
        <v>1127.6500000000001</v>
      </c>
      <c r="L35" s="118">
        <v>1858.12</v>
      </c>
      <c r="M35" s="118">
        <v>1473.82</v>
      </c>
      <c r="N35" s="118">
        <v>2318.6799999999998</v>
      </c>
    </row>
    <row r="36" spans="1:14" ht="15.6" x14ac:dyDescent="0.3">
      <c r="A36" s="48" t="s">
        <v>56</v>
      </c>
      <c r="B36" s="121">
        <v>740.1</v>
      </c>
      <c r="C36" s="58">
        <v>1296.72</v>
      </c>
      <c r="D36" s="63">
        <v>547.20000000000005</v>
      </c>
      <c r="E36" s="59">
        <v>680.32</v>
      </c>
      <c r="F36" s="60">
        <v>282</v>
      </c>
      <c r="G36" s="60">
        <v>514.49</v>
      </c>
      <c r="H36" s="61">
        <v>659.98</v>
      </c>
      <c r="I36" s="61">
        <v>1093.1600000000001</v>
      </c>
      <c r="J36" s="59">
        <v>103.82</v>
      </c>
      <c r="K36" s="60">
        <v>443.36</v>
      </c>
      <c r="L36" s="119">
        <v>178.28</v>
      </c>
      <c r="M36" s="119">
        <v>133.4</v>
      </c>
      <c r="N36" s="119">
        <v>212.98</v>
      </c>
    </row>
    <row r="37" spans="1:14" ht="15.6" x14ac:dyDescent="0.3">
      <c r="A37" s="48" t="s">
        <v>57</v>
      </c>
      <c r="B37" s="121">
        <v>143.66999999999999</v>
      </c>
      <c r="C37" s="58">
        <v>96.87</v>
      </c>
      <c r="D37" s="63">
        <v>82.94</v>
      </c>
      <c r="E37" s="59">
        <v>84.53</v>
      </c>
      <c r="F37" s="60">
        <v>178.13</v>
      </c>
      <c r="G37" s="60">
        <v>229.22</v>
      </c>
      <c r="H37" s="61">
        <v>381.08</v>
      </c>
      <c r="I37" s="61">
        <v>75.64</v>
      </c>
      <c r="J37" s="59">
        <v>89.44</v>
      </c>
      <c r="K37" s="60">
        <v>684.29</v>
      </c>
      <c r="L37" s="119">
        <v>1679.84</v>
      </c>
      <c r="M37" s="119">
        <v>1340.42</v>
      </c>
      <c r="N37" s="119">
        <v>2105.6999999999998</v>
      </c>
    </row>
    <row r="38" spans="1:14" ht="15.6" x14ac:dyDescent="0.3">
      <c r="A38" s="69" t="s">
        <v>354</v>
      </c>
      <c r="B38" s="120">
        <v>134425.87</v>
      </c>
      <c r="C38" s="53">
        <v>137818.23000000001</v>
      </c>
      <c r="D38" s="54">
        <v>158405.84</v>
      </c>
      <c r="E38" s="55">
        <v>166478.07</v>
      </c>
      <c r="F38" s="56">
        <v>137085.12</v>
      </c>
      <c r="G38" s="56">
        <v>140564.19</v>
      </c>
      <c r="H38" s="67">
        <v>243083.32</v>
      </c>
      <c r="I38" s="67">
        <v>156406.51</v>
      </c>
      <c r="J38" s="55">
        <v>206810.28</v>
      </c>
      <c r="K38" s="56">
        <v>159464.25</v>
      </c>
      <c r="L38" s="118">
        <v>249528.99</v>
      </c>
      <c r="M38" s="118">
        <v>372557.09</v>
      </c>
      <c r="N38" s="118">
        <v>415237.98</v>
      </c>
    </row>
    <row r="39" spans="1:14" ht="15.6" x14ac:dyDescent="0.3">
      <c r="A39" s="48" t="s">
        <v>355</v>
      </c>
      <c r="B39" s="121">
        <v>43991.35</v>
      </c>
      <c r="C39" s="58">
        <v>47985.19</v>
      </c>
      <c r="D39" s="63">
        <v>46278.69</v>
      </c>
      <c r="E39" s="59">
        <v>43461.52</v>
      </c>
      <c r="F39" s="60">
        <v>45724.65</v>
      </c>
      <c r="G39" s="60">
        <v>27143.68</v>
      </c>
      <c r="H39" s="61">
        <v>56950.78</v>
      </c>
      <c r="I39" s="61">
        <v>59528.76</v>
      </c>
      <c r="J39" s="59">
        <v>46163.53</v>
      </c>
      <c r="K39" s="60">
        <v>59550.41</v>
      </c>
      <c r="L39" s="119">
        <v>78652.02</v>
      </c>
      <c r="M39" s="119">
        <v>83272.490000000005</v>
      </c>
      <c r="N39" s="119">
        <v>90237.98</v>
      </c>
    </row>
    <row r="40" spans="1:14" ht="15.6" x14ac:dyDescent="0.3">
      <c r="A40" s="48" t="s">
        <v>356</v>
      </c>
      <c r="B40" s="121">
        <v>8985.11</v>
      </c>
      <c r="C40" s="58">
        <v>8366.75</v>
      </c>
      <c r="D40" s="63">
        <v>7858.83</v>
      </c>
      <c r="E40" s="59">
        <v>7608.36</v>
      </c>
      <c r="F40" s="60">
        <v>7357.71</v>
      </c>
      <c r="G40" s="60">
        <v>7402.57</v>
      </c>
      <c r="H40" s="61">
        <v>7696</v>
      </c>
      <c r="I40" s="61">
        <v>6316.9</v>
      </c>
      <c r="J40" s="59">
        <v>6552.18</v>
      </c>
      <c r="K40" s="60">
        <v>9702.26</v>
      </c>
      <c r="L40" s="119">
        <v>13641.26</v>
      </c>
      <c r="M40" s="119">
        <v>14041.86</v>
      </c>
      <c r="N40" s="119">
        <v>17580.82</v>
      </c>
    </row>
    <row r="41" spans="1:14" ht="15.6" x14ac:dyDescent="0.3">
      <c r="A41" s="48" t="s">
        <v>357</v>
      </c>
      <c r="B41" s="121">
        <v>7982.94</v>
      </c>
      <c r="C41" s="58">
        <v>9147.82</v>
      </c>
      <c r="D41" s="63">
        <v>10144.43</v>
      </c>
      <c r="E41" s="60" t="s">
        <v>55</v>
      </c>
      <c r="F41" s="60" t="s">
        <v>55</v>
      </c>
      <c r="G41" s="60" t="s">
        <v>55</v>
      </c>
      <c r="H41" s="124" t="s">
        <v>55</v>
      </c>
      <c r="I41" s="124" t="s">
        <v>55</v>
      </c>
      <c r="J41" s="124" t="s">
        <v>55</v>
      </c>
      <c r="K41" s="124" t="s">
        <v>55</v>
      </c>
      <c r="L41" s="119"/>
      <c r="M41" s="119"/>
      <c r="N41" s="124" t="s">
        <v>55</v>
      </c>
    </row>
    <row r="42" spans="1:14" ht="15.6" x14ac:dyDescent="0.3">
      <c r="A42" s="48" t="s">
        <v>358</v>
      </c>
      <c r="B42" s="121">
        <v>27023.3</v>
      </c>
      <c r="C42" s="58">
        <v>30470.62</v>
      </c>
      <c r="D42" s="63">
        <v>28275.43</v>
      </c>
      <c r="E42" s="59">
        <v>35853.160000000003</v>
      </c>
      <c r="F42" s="60">
        <v>38366.94</v>
      </c>
      <c r="G42" s="60">
        <v>19741.11</v>
      </c>
      <c r="H42" s="61">
        <v>49254.78</v>
      </c>
      <c r="I42" s="61">
        <v>53211.86</v>
      </c>
      <c r="J42" s="59">
        <v>39611.35</v>
      </c>
      <c r="K42" s="60">
        <v>49848.15</v>
      </c>
      <c r="L42" s="119">
        <v>65010.76</v>
      </c>
      <c r="M42" s="119">
        <v>69230.63</v>
      </c>
      <c r="N42" s="119">
        <v>72657.16</v>
      </c>
    </row>
    <row r="43" spans="1:14" ht="15.6" x14ac:dyDescent="0.3">
      <c r="A43" s="48" t="s">
        <v>359</v>
      </c>
      <c r="B43" s="121">
        <v>90434.52</v>
      </c>
      <c r="C43" s="58">
        <v>89833.04</v>
      </c>
      <c r="D43" s="63">
        <v>112127.15</v>
      </c>
      <c r="E43" s="59">
        <v>123016.55</v>
      </c>
      <c r="F43" s="60">
        <v>91360.47</v>
      </c>
      <c r="G43" s="60">
        <v>113420.51</v>
      </c>
      <c r="H43" s="61">
        <v>186132.54</v>
      </c>
      <c r="I43" s="61">
        <v>96877.75</v>
      </c>
      <c r="J43" s="59">
        <v>160646.75</v>
      </c>
      <c r="K43" s="60">
        <v>99913.84</v>
      </c>
      <c r="L43" s="119">
        <v>170876.97</v>
      </c>
      <c r="M43" s="119">
        <v>289284.59999999998</v>
      </c>
      <c r="N43" s="119">
        <v>325000</v>
      </c>
    </row>
    <row r="44" spans="1:14" ht="15.6" x14ac:dyDescent="0.3">
      <c r="A44" s="69" t="s">
        <v>360</v>
      </c>
      <c r="B44" s="120">
        <v>114891.32</v>
      </c>
      <c r="C44" s="53">
        <v>119752.71</v>
      </c>
      <c r="D44" s="54">
        <v>325544.88</v>
      </c>
      <c r="E44" s="55">
        <v>339477.74</v>
      </c>
      <c r="F44" s="56">
        <v>303837.40999999997</v>
      </c>
      <c r="G44" s="56">
        <v>345080.54</v>
      </c>
      <c r="H44" s="67">
        <v>344203.9</v>
      </c>
      <c r="I44" s="67">
        <v>273079.44</v>
      </c>
      <c r="J44" s="55">
        <v>417188.47</v>
      </c>
      <c r="K44" s="56">
        <v>445002.37</v>
      </c>
      <c r="L44" s="118">
        <v>499749.92</v>
      </c>
      <c r="M44" s="118">
        <v>544093.05000000005</v>
      </c>
      <c r="N44" s="118">
        <v>568748.43999999994</v>
      </c>
    </row>
    <row r="45" spans="1:14" ht="15.6" x14ac:dyDescent="0.3">
      <c r="A45" s="48" t="s">
        <v>361</v>
      </c>
      <c r="B45" s="120">
        <v>28956.11</v>
      </c>
      <c r="C45" s="53">
        <v>35319.99</v>
      </c>
      <c r="D45" s="54">
        <v>35513.32</v>
      </c>
      <c r="E45" s="55">
        <v>40652.03</v>
      </c>
      <c r="F45" s="56">
        <v>42065.18</v>
      </c>
      <c r="G45" s="56">
        <v>47322.8</v>
      </c>
      <c r="H45" s="67">
        <v>45845.22</v>
      </c>
      <c r="I45" s="67">
        <v>39565.879999999997</v>
      </c>
      <c r="J45" s="55">
        <v>65742.45</v>
      </c>
      <c r="K45" s="56">
        <v>56303.68</v>
      </c>
      <c r="L45" s="118">
        <v>63297.87</v>
      </c>
      <c r="M45" s="118">
        <v>61367.9</v>
      </c>
      <c r="N45" s="118">
        <v>72257.03</v>
      </c>
    </row>
    <row r="46" spans="1:14" ht="15.6" x14ac:dyDescent="0.3">
      <c r="A46" s="48" t="s">
        <v>254</v>
      </c>
      <c r="B46" s="121">
        <v>82.12</v>
      </c>
      <c r="C46" s="58">
        <v>75.989999999999995</v>
      </c>
      <c r="D46" s="63">
        <v>109.83</v>
      </c>
      <c r="E46" s="59">
        <v>104.04</v>
      </c>
      <c r="F46" s="60">
        <v>84.03</v>
      </c>
      <c r="G46" s="60">
        <v>84.06</v>
      </c>
      <c r="H46" s="61">
        <v>89.64</v>
      </c>
      <c r="I46" s="61">
        <v>88.56</v>
      </c>
      <c r="J46" s="59">
        <v>91.09</v>
      </c>
      <c r="K46" s="60">
        <v>158.71</v>
      </c>
      <c r="L46" s="119">
        <v>111.94</v>
      </c>
      <c r="M46" s="119">
        <v>110.06</v>
      </c>
      <c r="N46" s="119">
        <v>209.06</v>
      </c>
    </row>
    <row r="47" spans="1:14" ht="15.6" x14ac:dyDescent="0.3">
      <c r="A47" s="48" t="s">
        <v>58</v>
      </c>
      <c r="B47" s="121">
        <v>4161.47</v>
      </c>
      <c r="C47" s="58">
        <v>4806.75</v>
      </c>
      <c r="D47" s="63">
        <v>5916.01</v>
      </c>
      <c r="E47" s="59">
        <v>6254.26</v>
      </c>
      <c r="F47" s="60">
        <v>7495.64</v>
      </c>
      <c r="G47" s="60">
        <v>8280.7199999999993</v>
      </c>
      <c r="H47" s="61">
        <v>9021.5499999999993</v>
      </c>
      <c r="I47" s="61">
        <v>7290.59</v>
      </c>
      <c r="J47" s="59">
        <v>27635.5</v>
      </c>
      <c r="K47" s="60">
        <v>12069.4</v>
      </c>
      <c r="L47" s="119">
        <v>13190.97</v>
      </c>
      <c r="M47" s="119">
        <v>12079.44</v>
      </c>
      <c r="N47" s="119">
        <v>16953.240000000002</v>
      </c>
    </row>
    <row r="48" spans="1:14" ht="15.6" x14ac:dyDescent="0.3">
      <c r="A48" s="48" t="s">
        <v>256</v>
      </c>
      <c r="B48" s="123">
        <v>0</v>
      </c>
      <c r="C48" s="60" t="s">
        <v>55</v>
      </c>
      <c r="D48" s="60" t="s">
        <v>55</v>
      </c>
      <c r="E48" s="60" t="s">
        <v>55</v>
      </c>
      <c r="F48" s="60" t="s">
        <v>55</v>
      </c>
      <c r="G48" s="60">
        <v>0.02</v>
      </c>
      <c r="H48" s="61">
        <v>0.06</v>
      </c>
      <c r="I48" s="65" t="s">
        <v>54</v>
      </c>
      <c r="J48" s="59">
        <v>0</v>
      </c>
      <c r="K48" s="60">
        <v>0.01</v>
      </c>
      <c r="L48" s="119">
        <v>0</v>
      </c>
      <c r="M48" s="119">
        <v>0</v>
      </c>
      <c r="N48" s="119">
        <v>0</v>
      </c>
    </row>
    <row r="49" spans="1:14" ht="15.6" x14ac:dyDescent="0.3">
      <c r="A49" s="48" t="s">
        <v>257</v>
      </c>
      <c r="B49" s="121">
        <v>156.18</v>
      </c>
      <c r="C49" s="58">
        <v>152.55000000000001</v>
      </c>
      <c r="D49" s="63">
        <v>153.56</v>
      </c>
      <c r="E49" s="59">
        <v>228.72</v>
      </c>
      <c r="F49" s="60">
        <v>54.57</v>
      </c>
      <c r="G49" s="60">
        <v>0.28000000000000003</v>
      </c>
      <c r="H49" s="65" t="s">
        <v>54</v>
      </c>
      <c r="I49" s="65" t="s">
        <v>54</v>
      </c>
      <c r="J49" s="59">
        <v>5.34</v>
      </c>
      <c r="K49" s="60">
        <v>0.14000000000000001</v>
      </c>
      <c r="L49" s="119">
        <v>0</v>
      </c>
      <c r="M49" s="119">
        <v>0</v>
      </c>
      <c r="N49" s="119">
        <v>0</v>
      </c>
    </row>
    <row r="50" spans="1:14" ht="15.6" x14ac:dyDescent="0.3">
      <c r="A50" s="48" t="s">
        <v>59</v>
      </c>
      <c r="B50" s="121">
        <v>18.46</v>
      </c>
      <c r="C50" s="58">
        <v>22.69</v>
      </c>
      <c r="D50" s="63">
        <v>28.74</v>
      </c>
      <c r="E50" s="59">
        <v>37.880000000000003</v>
      </c>
      <c r="F50" s="60">
        <v>38.97</v>
      </c>
      <c r="G50" s="60">
        <v>47.04</v>
      </c>
      <c r="H50" s="61">
        <v>23.41</v>
      </c>
      <c r="I50" s="61">
        <v>11.73</v>
      </c>
      <c r="J50" s="59">
        <v>8</v>
      </c>
      <c r="K50" s="60">
        <v>26.99</v>
      </c>
      <c r="L50" s="119">
        <v>9.26</v>
      </c>
      <c r="M50" s="119">
        <v>11.78</v>
      </c>
      <c r="N50" s="119">
        <v>11.5</v>
      </c>
    </row>
    <row r="51" spans="1:14" ht="15.6" x14ac:dyDescent="0.3">
      <c r="A51" s="48" t="s">
        <v>60</v>
      </c>
      <c r="B51" s="121">
        <v>129.53</v>
      </c>
      <c r="C51" s="58">
        <v>129.47999999999999</v>
      </c>
      <c r="D51" s="63">
        <v>126.67</v>
      </c>
      <c r="E51" s="59">
        <v>198.74</v>
      </c>
      <c r="F51" s="60">
        <v>333.85</v>
      </c>
      <c r="G51" s="60">
        <v>302.47000000000003</v>
      </c>
      <c r="H51" s="61">
        <v>476.9</v>
      </c>
      <c r="I51" s="61">
        <v>327.99</v>
      </c>
      <c r="J51" s="59">
        <v>554.16</v>
      </c>
      <c r="K51" s="60">
        <v>562.62</v>
      </c>
      <c r="L51" s="119">
        <v>704.07</v>
      </c>
      <c r="M51" s="119">
        <v>174.29</v>
      </c>
      <c r="N51" s="119">
        <v>1080.99</v>
      </c>
    </row>
    <row r="52" spans="1:14" ht="15.6" x14ac:dyDescent="0.3">
      <c r="A52" s="48" t="s">
        <v>61</v>
      </c>
      <c r="B52" s="121">
        <v>4856.58</v>
      </c>
      <c r="C52" s="58">
        <v>5462.93</v>
      </c>
      <c r="D52" s="63">
        <v>5298.36</v>
      </c>
      <c r="E52" s="59">
        <v>5521.13</v>
      </c>
      <c r="F52" s="60">
        <v>6203.79</v>
      </c>
      <c r="G52" s="60">
        <v>6935.86</v>
      </c>
      <c r="H52" s="61">
        <v>5947.16</v>
      </c>
      <c r="I52" s="61">
        <v>2518.09</v>
      </c>
      <c r="J52" s="59">
        <v>4408.8599999999997</v>
      </c>
      <c r="K52" s="60">
        <v>6571.05</v>
      </c>
      <c r="L52" s="119">
        <v>6787.94</v>
      </c>
      <c r="M52" s="119">
        <v>5370.66</v>
      </c>
      <c r="N52" s="119">
        <v>8053.75</v>
      </c>
    </row>
    <row r="53" spans="1:14" ht="15.6" x14ac:dyDescent="0.3">
      <c r="A53" s="48" t="s">
        <v>362</v>
      </c>
      <c r="B53" s="121">
        <v>1272.1500000000001</v>
      </c>
      <c r="C53" s="58">
        <v>1348.13</v>
      </c>
      <c r="D53" s="63">
        <v>1639.42</v>
      </c>
      <c r="E53" s="59">
        <v>1703.79</v>
      </c>
      <c r="F53" s="60">
        <v>1760.7</v>
      </c>
      <c r="G53" s="60">
        <v>1613.28</v>
      </c>
      <c r="H53" s="61">
        <v>1335.48</v>
      </c>
      <c r="I53" s="61">
        <v>1293.79</v>
      </c>
      <c r="J53" s="59">
        <v>1718.97</v>
      </c>
      <c r="K53" s="60">
        <v>2719.62</v>
      </c>
      <c r="L53" s="119">
        <v>2608.86</v>
      </c>
      <c r="M53" s="119">
        <v>2734.68</v>
      </c>
      <c r="N53" s="119">
        <v>3929.11</v>
      </c>
    </row>
    <row r="54" spans="1:14" ht="15.6" x14ac:dyDescent="0.3">
      <c r="A54" s="48" t="s">
        <v>62</v>
      </c>
      <c r="B54" s="121">
        <v>12763.72</v>
      </c>
      <c r="C54" s="58">
        <v>14982.72</v>
      </c>
      <c r="D54" s="63">
        <v>16577.77</v>
      </c>
      <c r="E54" s="59">
        <v>18988.2</v>
      </c>
      <c r="F54" s="60">
        <v>19355.64</v>
      </c>
      <c r="G54" s="60">
        <v>21748.080000000002</v>
      </c>
      <c r="H54" s="61">
        <v>21225.89</v>
      </c>
      <c r="I54" s="61">
        <v>18309.98</v>
      </c>
      <c r="J54" s="59">
        <v>24923.599999999999</v>
      </c>
      <c r="K54" s="60">
        <v>26145.67</v>
      </c>
      <c r="L54" s="119">
        <v>32589.279999999999</v>
      </c>
      <c r="M54" s="119">
        <v>33245.93</v>
      </c>
      <c r="N54" s="119">
        <v>35028.1</v>
      </c>
    </row>
    <row r="55" spans="1:14" ht="15.6" x14ac:dyDescent="0.3">
      <c r="A55" s="69" t="s">
        <v>363</v>
      </c>
      <c r="B55" s="120">
        <v>5515.9</v>
      </c>
      <c r="C55" s="53">
        <v>8338.75</v>
      </c>
      <c r="D55" s="54">
        <v>5662.96</v>
      </c>
      <c r="E55" s="55">
        <v>7615.27</v>
      </c>
      <c r="F55" s="56">
        <v>6737.99</v>
      </c>
      <c r="G55" s="56">
        <v>8310.99</v>
      </c>
      <c r="H55" s="67">
        <v>7725.13</v>
      </c>
      <c r="I55" s="67">
        <v>9725.15</v>
      </c>
      <c r="J55" s="55">
        <v>6396.93</v>
      </c>
      <c r="K55" s="56">
        <v>8049.47</v>
      </c>
      <c r="L55" s="118">
        <v>7295.55</v>
      </c>
      <c r="M55" s="118">
        <v>7641.06</v>
      </c>
      <c r="N55" s="118">
        <v>6991.28</v>
      </c>
    </row>
    <row r="56" spans="1:14" ht="15.6" x14ac:dyDescent="0.3">
      <c r="A56" s="48" t="s">
        <v>263</v>
      </c>
      <c r="B56" s="121">
        <v>1964.72</v>
      </c>
      <c r="C56" s="58">
        <v>2540.44</v>
      </c>
      <c r="D56" s="63">
        <v>2291.3200000000002</v>
      </c>
      <c r="E56" s="59">
        <v>2494.9499999999998</v>
      </c>
      <c r="F56" s="60">
        <v>2951.31</v>
      </c>
      <c r="G56" s="60">
        <v>3544.51</v>
      </c>
      <c r="H56" s="61">
        <v>3288</v>
      </c>
      <c r="I56" s="61">
        <v>4369.45</v>
      </c>
      <c r="J56" s="59">
        <v>3691.73</v>
      </c>
      <c r="K56" s="60">
        <v>4634.59</v>
      </c>
      <c r="L56" s="119">
        <v>4460.93</v>
      </c>
      <c r="M56" s="119">
        <v>4961.5600000000004</v>
      </c>
      <c r="N56" s="119">
        <v>4510.78</v>
      </c>
    </row>
    <row r="57" spans="1:14" ht="15.6" x14ac:dyDescent="0.3">
      <c r="A57" s="48" t="s">
        <v>264</v>
      </c>
      <c r="B57" s="121">
        <v>437.89</v>
      </c>
      <c r="C57" s="58">
        <v>673.13</v>
      </c>
      <c r="D57" s="63">
        <v>328.77</v>
      </c>
      <c r="E57" s="59">
        <v>332.49</v>
      </c>
      <c r="F57" s="60">
        <v>629.82000000000005</v>
      </c>
      <c r="G57" s="60">
        <v>882.64</v>
      </c>
      <c r="H57" s="61">
        <v>700.38</v>
      </c>
      <c r="I57" s="61">
        <v>1544.29</v>
      </c>
      <c r="J57" s="59">
        <v>591.53</v>
      </c>
      <c r="K57" s="60">
        <v>1301.19</v>
      </c>
      <c r="L57" s="119">
        <v>886.27</v>
      </c>
      <c r="M57" s="119">
        <v>870</v>
      </c>
      <c r="N57" s="119">
        <v>870</v>
      </c>
    </row>
    <row r="58" spans="1:14" ht="15.6" x14ac:dyDescent="0.3">
      <c r="A58" s="48" t="s">
        <v>265</v>
      </c>
      <c r="B58" s="121">
        <v>1066.56</v>
      </c>
      <c r="C58" s="58">
        <v>2944.24</v>
      </c>
      <c r="D58" s="63">
        <v>827.95</v>
      </c>
      <c r="E58" s="59">
        <v>2371.7199999999998</v>
      </c>
      <c r="F58" s="60">
        <v>1025.5999999999999</v>
      </c>
      <c r="G58" s="60">
        <v>1079.29</v>
      </c>
      <c r="H58" s="61">
        <v>1404.18</v>
      </c>
      <c r="I58" s="61">
        <v>1790.74</v>
      </c>
      <c r="J58" s="59">
        <v>1312.48</v>
      </c>
      <c r="K58" s="60">
        <v>1788.4</v>
      </c>
      <c r="L58" s="119">
        <v>1717.41</v>
      </c>
      <c r="M58" s="119">
        <v>1500</v>
      </c>
      <c r="N58" s="119">
        <v>1300</v>
      </c>
    </row>
    <row r="59" spans="1:14" ht="15.6" x14ac:dyDescent="0.3">
      <c r="A59" s="48" t="s">
        <v>266</v>
      </c>
      <c r="B59" s="121">
        <v>1977.77</v>
      </c>
      <c r="C59" s="58">
        <v>1719.32</v>
      </c>
      <c r="D59" s="63">
        <v>1829.43</v>
      </c>
      <c r="E59" s="59">
        <v>2062.9499999999998</v>
      </c>
      <c r="F59" s="60">
        <v>1852.02</v>
      </c>
      <c r="G59" s="60">
        <v>2191.4899999999998</v>
      </c>
      <c r="H59" s="61">
        <v>1928.5</v>
      </c>
      <c r="I59" s="61">
        <v>1652.56</v>
      </c>
      <c r="J59" s="59">
        <v>422.52</v>
      </c>
      <c r="K59" s="60">
        <v>5.55</v>
      </c>
      <c r="L59" s="119">
        <v>7.14</v>
      </c>
      <c r="M59" s="119">
        <v>9.5</v>
      </c>
      <c r="N59" s="119">
        <v>10.5</v>
      </c>
    </row>
    <row r="60" spans="1:14" ht="15.6" x14ac:dyDescent="0.3">
      <c r="A60" s="48" t="s">
        <v>267</v>
      </c>
      <c r="B60" s="121">
        <v>68.959999999999994</v>
      </c>
      <c r="C60" s="58">
        <v>461.62</v>
      </c>
      <c r="D60" s="63">
        <v>385.49</v>
      </c>
      <c r="E60" s="59">
        <v>353.16</v>
      </c>
      <c r="F60" s="60">
        <v>279.24</v>
      </c>
      <c r="G60" s="60">
        <v>613.05999999999995</v>
      </c>
      <c r="H60" s="61">
        <v>404.07</v>
      </c>
      <c r="I60" s="125">
        <v>368.11</v>
      </c>
      <c r="J60" s="59">
        <v>378.67</v>
      </c>
      <c r="K60" s="60">
        <v>319.74</v>
      </c>
      <c r="L60" s="119">
        <v>223.8</v>
      </c>
      <c r="M60" s="119">
        <v>300</v>
      </c>
      <c r="N60" s="119">
        <v>300</v>
      </c>
    </row>
    <row r="61" spans="1:14" ht="15.6" x14ac:dyDescent="0.3">
      <c r="A61" s="48" t="s">
        <v>364</v>
      </c>
      <c r="B61" s="126">
        <v>1263.8800000000001</v>
      </c>
      <c r="C61" s="53">
        <v>1674.87</v>
      </c>
      <c r="D61" s="54">
        <v>10015.1</v>
      </c>
      <c r="E61" s="55">
        <v>11928.15</v>
      </c>
      <c r="F61" s="56">
        <v>3008.13</v>
      </c>
      <c r="G61" s="56">
        <v>3079.9</v>
      </c>
      <c r="H61" s="57">
        <v>3404.2</v>
      </c>
      <c r="I61" s="67">
        <v>3790.65</v>
      </c>
      <c r="J61" s="55">
        <v>4761.09</v>
      </c>
      <c r="K61" s="56">
        <v>6887.94</v>
      </c>
      <c r="L61" s="118">
        <v>7669.8</v>
      </c>
      <c r="M61" s="118">
        <v>6426.34</v>
      </c>
      <c r="N61" s="118">
        <v>11187.46</v>
      </c>
    </row>
    <row r="62" spans="1:14" ht="15.6" x14ac:dyDescent="0.3">
      <c r="A62" s="48" t="s">
        <v>65</v>
      </c>
      <c r="B62" s="121">
        <v>116.93</v>
      </c>
      <c r="C62" s="58">
        <v>109.35</v>
      </c>
      <c r="D62" s="63">
        <v>116.83</v>
      </c>
      <c r="E62" s="59">
        <v>246.25</v>
      </c>
      <c r="F62" s="60">
        <v>273.49</v>
      </c>
      <c r="G62" s="60">
        <v>342.19</v>
      </c>
      <c r="H62" s="61">
        <v>365.45</v>
      </c>
      <c r="I62" s="61">
        <v>58.3</v>
      </c>
      <c r="J62" s="59">
        <v>111.8</v>
      </c>
      <c r="K62" s="60">
        <v>1592.27</v>
      </c>
      <c r="L62" s="119">
        <v>1065.47</v>
      </c>
      <c r="M62" s="119">
        <v>691.28</v>
      </c>
      <c r="N62" s="119">
        <v>1683.25</v>
      </c>
    </row>
    <row r="63" spans="1:14" ht="15.6" x14ac:dyDescent="0.3">
      <c r="A63" s="48" t="s">
        <v>66</v>
      </c>
      <c r="B63" s="121">
        <v>321.95</v>
      </c>
      <c r="C63" s="58">
        <v>320.82</v>
      </c>
      <c r="D63" s="63">
        <v>324.45999999999998</v>
      </c>
      <c r="E63" s="59">
        <v>376.38</v>
      </c>
      <c r="F63" s="60">
        <v>540.23</v>
      </c>
      <c r="G63" s="60">
        <v>677.65</v>
      </c>
      <c r="H63" s="61">
        <v>972.24</v>
      </c>
      <c r="I63" s="61">
        <v>1148.73</v>
      </c>
      <c r="J63" s="59">
        <v>1646.05</v>
      </c>
      <c r="K63" s="60">
        <v>2152.12</v>
      </c>
      <c r="L63" s="119">
        <v>2618.88</v>
      </c>
      <c r="M63" s="119">
        <v>1985.99</v>
      </c>
      <c r="N63" s="119">
        <v>3638.59</v>
      </c>
    </row>
    <row r="64" spans="1:14" ht="15.6" x14ac:dyDescent="0.3">
      <c r="A64" s="48" t="s">
        <v>67</v>
      </c>
      <c r="B64" s="121">
        <v>23.17</v>
      </c>
      <c r="C64" s="58">
        <v>33.020000000000003</v>
      </c>
      <c r="D64" s="63">
        <v>18.12</v>
      </c>
      <c r="E64" s="59">
        <v>17.34</v>
      </c>
      <c r="F64" s="60">
        <v>14.43</v>
      </c>
      <c r="G64" s="60">
        <v>12.89</v>
      </c>
      <c r="H64" s="61">
        <v>34.92</v>
      </c>
      <c r="I64" s="61">
        <v>6.46</v>
      </c>
      <c r="J64" s="59">
        <v>0.99</v>
      </c>
      <c r="K64" s="60">
        <v>27.17</v>
      </c>
      <c r="L64" s="119">
        <v>36.19</v>
      </c>
      <c r="M64" s="119">
        <v>19.420000000000002</v>
      </c>
      <c r="N64" s="119">
        <v>19.420000000000002</v>
      </c>
    </row>
    <row r="65" spans="1:14" ht="15.6" x14ac:dyDescent="0.3">
      <c r="A65" s="48" t="s">
        <v>273</v>
      </c>
      <c r="B65" s="48" t="s">
        <v>55</v>
      </c>
      <c r="C65" s="65" t="s">
        <v>54</v>
      </c>
      <c r="D65" s="65" t="s">
        <v>54</v>
      </c>
      <c r="E65" s="65" t="s">
        <v>54</v>
      </c>
      <c r="F65" s="65" t="s">
        <v>54</v>
      </c>
      <c r="G65" s="65" t="s">
        <v>54</v>
      </c>
      <c r="H65" s="65" t="s">
        <v>54</v>
      </c>
      <c r="I65" s="65" t="s">
        <v>54</v>
      </c>
      <c r="J65" s="59">
        <v>0</v>
      </c>
      <c r="K65" s="60">
        <v>0</v>
      </c>
      <c r="L65" s="119">
        <v>601.94000000000005</v>
      </c>
      <c r="M65" s="119">
        <v>656.62</v>
      </c>
      <c r="N65" s="119">
        <v>1243.1500000000001</v>
      </c>
    </row>
    <row r="66" spans="1:14" ht="15.6" x14ac:dyDescent="0.3">
      <c r="A66" s="48" t="s">
        <v>68</v>
      </c>
      <c r="B66" s="121">
        <v>170.8</v>
      </c>
      <c r="C66" s="58">
        <v>150.49</v>
      </c>
      <c r="D66" s="63">
        <v>210.98</v>
      </c>
      <c r="E66" s="59">
        <v>168.7</v>
      </c>
      <c r="F66" s="60">
        <v>379.28</v>
      </c>
      <c r="G66" s="60">
        <v>235.58</v>
      </c>
      <c r="H66" s="61">
        <v>329.73</v>
      </c>
      <c r="I66" s="61">
        <v>217.64</v>
      </c>
      <c r="J66" s="59">
        <v>486.28</v>
      </c>
      <c r="K66" s="60">
        <v>635.38</v>
      </c>
      <c r="L66" s="119">
        <v>531.42999999999995</v>
      </c>
      <c r="M66" s="119">
        <v>649.89</v>
      </c>
      <c r="N66" s="119">
        <v>869.3</v>
      </c>
    </row>
    <row r="67" spans="1:14" ht="15.6" x14ac:dyDescent="0.3">
      <c r="A67" s="48" t="s">
        <v>69</v>
      </c>
      <c r="B67" s="127" t="s">
        <v>54</v>
      </c>
      <c r="C67" s="63" t="s">
        <v>54</v>
      </c>
      <c r="D67" s="63" t="s">
        <v>54</v>
      </c>
      <c r="E67" s="59">
        <v>0.02</v>
      </c>
      <c r="F67" s="60">
        <v>0</v>
      </c>
      <c r="G67" s="60">
        <v>0</v>
      </c>
      <c r="H67" s="65" t="s">
        <v>54</v>
      </c>
      <c r="I67" s="65" t="s">
        <v>54</v>
      </c>
      <c r="J67" s="59">
        <v>0</v>
      </c>
      <c r="K67" s="60">
        <v>0.01</v>
      </c>
      <c r="L67" s="119">
        <v>0.59</v>
      </c>
      <c r="M67" s="119">
        <v>0</v>
      </c>
      <c r="N67" s="119">
        <v>0</v>
      </c>
    </row>
    <row r="68" spans="1:14" ht="15.6" x14ac:dyDescent="0.3">
      <c r="A68" s="48" t="s">
        <v>70</v>
      </c>
      <c r="B68" s="121">
        <v>612.27</v>
      </c>
      <c r="C68" s="58">
        <v>209.05</v>
      </c>
      <c r="D68" s="63">
        <v>2552.39</v>
      </c>
      <c r="E68" s="59">
        <v>67.3</v>
      </c>
      <c r="F68" s="60">
        <v>70.790000000000006</v>
      </c>
      <c r="G68" s="60">
        <v>57.53</v>
      </c>
      <c r="H68" s="61">
        <v>53.23</v>
      </c>
      <c r="I68" s="61">
        <v>138.25</v>
      </c>
      <c r="J68" s="59">
        <v>35.299999999999997</v>
      </c>
      <c r="K68" s="60">
        <v>67.33</v>
      </c>
      <c r="L68" s="119">
        <v>37.770000000000003</v>
      </c>
      <c r="M68" s="119">
        <v>31.77</v>
      </c>
      <c r="N68" s="119">
        <v>47.9</v>
      </c>
    </row>
    <row r="69" spans="1:14" ht="15.6" x14ac:dyDescent="0.3">
      <c r="A69" s="48" t="s">
        <v>274</v>
      </c>
      <c r="B69" s="127" t="s">
        <v>54</v>
      </c>
      <c r="C69" s="58">
        <v>836.52</v>
      </c>
      <c r="D69" s="63">
        <v>6753</v>
      </c>
      <c r="E69" s="59">
        <v>1710.3</v>
      </c>
      <c r="F69" s="60">
        <v>1548.29</v>
      </c>
      <c r="G69" s="60">
        <v>1319.8</v>
      </c>
      <c r="H69" s="61">
        <v>912.63</v>
      </c>
      <c r="I69" s="61">
        <v>1788.52</v>
      </c>
      <c r="J69" s="59">
        <v>1761.25</v>
      </c>
      <c r="K69" s="60">
        <v>1123.18</v>
      </c>
      <c r="L69" s="119">
        <v>972.93</v>
      </c>
      <c r="M69" s="119">
        <v>814.53</v>
      </c>
      <c r="N69" s="119">
        <v>1227.9000000000001</v>
      </c>
    </row>
    <row r="70" spans="1:14" ht="15.6" x14ac:dyDescent="0.3">
      <c r="A70" s="48" t="s">
        <v>365</v>
      </c>
      <c r="B70" s="121">
        <v>18.37</v>
      </c>
      <c r="C70" s="58">
        <v>14.84</v>
      </c>
      <c r="D70" s="63">
        <v>38.72</v>
      </c>
      <c r="E70" s="59">
        <v>24.96</v>
      </c>
      <c r="F70" s="60">
        <v>34.89</v>
      </c>
      <c r="G70" s="60">
        <v>33.67</v>
      </c>
      <c r="H70" s="61">
        <v>508.07</v>
      </c>
      <c r="I70" s="61">
        <v>43.08</v>
      </c>
      <c r="J70" s="59">
        <v>85.12</v>
      </c>
      <c r="K70" s="60">
        <v>71.55</v>
      </c>
      <c r="L70" s="119">
        <v>115.51</v>
      </c>
      <c r="M70" s="119">
        <v>88.09</v>
      </c>
      <c r="N70" s="119">
        <v>207.77</v>
      </c>
    </row>
    <row r="71" spans="1:14" ht="15.6" x14ac:dyDescent="0.3">
      <c r="A71" s="48" t="s">
        <v>72</v>
      </c>
      <c r="B71" s="121">
        <v>0.39</v>
      </c>
      <c r="C71" s="58">
        <v>0.78</v>
      </c>
      <c r="D71" s="63">
        <v>0.6</v>
      </c>
      <c r="E71" s="59">
        <v>3427.74</v>
      </c>
      <c r="F71" s="60">
        <v>0.67</v>
      </c>
      <c r="G71" s="60">
        <v>1.87</v>
      </c>
      <c r="H71" s="61">
        <v>2.25</v>
      </c>
      <c r="I71" s="61">
        <v>0.55000000000000004</v>
      </c>
      <c r="J71" s="59">
        <v>3.52</v>
      </c>
      <c r="K71" s="60">
        <v>54.99</v>
      </c>
      <c r="L71" s="119">
        <v>600</v>
      </c>
      <c r="M71" s="119">
        <v>493.52</v>
      </c>
      <c r="N71" s="119">
        <v>778.03</v>
      </c>
    </row>
    <row r="72" spans="1:14" ht="15.6" x14ac:dyDescent="0.3">
      <c r="A72" s="48" t="s">
        <v>279</v>
      </c>
      <c r="B72" s="127" t="s">
        <v>54</v>
      </c>
      <c r="C72" s="58" t="s">
        <v>54</v>
      </c>
      <c r="D72" s="63" t="s">
        <v>54</v>
      </c>
      <c r="E72" s="59">
        <v>5889.16</v>
      </c>
      <c r="F72" s="60">
        <v>146.06</v>
      </c>
      <c r="G72" s="60">
        <v>398.72</v>
      </c>
      <c r="H72" s="61">
        <v>225.68</v>
      </c>
      <c r="I72" s="61">
        <v>389.12</v>
      </c>
      <c r="J72" s="59">
        <v>630.78</v>
      </c>
      <c r="K72" s="60">
        <v>1163.94</v>
      </c>
      <c r="L72" s="119">
        <v>1089.0899999999999</v>
      </c>
      <c r="M72" s="119">
        <v>995.23</v>
      </c>
      <c r="N72" s="119">
        <v>1472.15</v>
      </c>
    </row>
    <row r="73" spans="1:14" ht="15.6" x14ac:dyDescent="0.3">
      <c r="A73" s="48" t="s">
        <v>366</v>
      </c>
      <c r="B73" s="120">
        <v>226411.08</v>
      </c>
      <c r="C73" s="53">
        <v>242412.84</v>
      </c>
      <c r="D73" s="54">
        <v>278478.19</v>
      </c>
      <c r="E73" s="55">
        <v>285093.53000000003</v>
      </c>
      <c r="F73" s="56">
        <v>256874.48</v>
      </c>
      <c r="G73" s="56">
        <v>292788.31</v>
      </c>
      <c r="H73" s="67">
        <v>293192.67</v>
      </c>
      <c r="I73" s="67">
        <v>228124.6</v>
      </c>
      <c r="J73" s="55">
        <v>344939.98</v>
      </c>
      <c r="K73" s="56">
        <v>379620.09</v>
      </c>
      <c r="L73" s="118">
        <v>425716.59</v>
      </c>
      <c r="M73" s="118">
        <v>473228.53</v>
      </c>
      <c r="N73" s="118">
        <v>481884.77</v>
      </c>
    </row>
    <row r="74" spans="1:14" ht="15.6" x14ac:dyDescent="0.3">
      <c r="A74" s="48" t="s">
        <v>76</v>
      </c>
      <c r="B74" s="121">
        <v>175.4</v>
      </c>
      <c r="C74" s="58">
        <v>207.89</v>
      </c>
      <c r="D74" s="63">
        <v>225.43</v>
      </c>
      <c r="E74" s="59">
        <v>407.03</v>
      </c>
      <c r="F74" s="60">
        <v>576.79999999999995</v>
      </c>
      <c r="G74" s="60">
        <v>430.03</v>
      </c>
      <c r="H74" s="61">
        <v>514.33000000000004</v>
      </c>
      <c r="I74" s="61">
        <v>520.78</v>
      </c>
      <c r="J74" s="59">
        <v>645.70000000000005</v>
      </c>
      <c r="K74" s="60">
        <v>427.03</v>
      </c>
      <c r="L74" s="119">
        <v>553.75</v>
      </c>
      <c r="M74" s="119">
        <v>528.4</v>
      </c>
      <c r="N74" s="119">
        <v>846.91</v>
      </c>
    </row>
    <row r="75" spans="1:14" ht="15.6" x14ac:dyDescent="0.3">
      <c r="A75" s="48" t="s">
        <v>78</v>
      </c>
      <c r="B75" s="121">
        <v>50.55</v>
      </c>
      <c r="C75" s="58">
        <v>19.64</v>
      </c>
      <c r="D75" s="63">
        <v>16.78</v>
      </c>
      <c r="E75" s="59">
        <v>18.809999999999999</v>
      </c>
      <c r="F75" s="60">
        <v>20.59</v>
      </c>
      <c r="G75" s="60">
        <v>33.43</v>
      </c>
      <c r="H75" s="61">
        <v>24.45</v>
      </c>
      <c r="I75" s="61">
        <v>31.87</v>
      </c>
      <c r="J75" s="59">
        <v>50.08</v>
      </c>
      <c r="K75" s="60">
        <v>57.01</v>
      </c>
      <c r="L75" s="119">
        <v>102.2</v>
      </c>
      <c r="M75" s="119">
        <v>59.81</v>
      </c>
      <c r="N75" s="119">
        <v>163.22999999999999</v>
      </c>
    </row>
    <row r="76" spans="1:14" ht="15.6" x14ac:dyDescent="0.3">
      <c r="A76" s="48" t="s">
        <v>79</v>
      </c>
      <c r="B76" s="121">
        <v>323.32</v>
      </c>
      <c r="C76" s="58">
        <v>393.74</v>
      </c>
      <c r="D76" s="63">
        <v>425.15</v>
      </c>
      <c r="E76" s="59">
        <v>418.98</v>
      </c>
      <c r="F76" s="60">
        <v>435.5</v>
      </c>
      <c r="G76" s="60">
        <v>359.24</v>
      </c>
      <c r="H76" s="61">
        <v>356.11</v>
      </c>
      <c r="I76" s="61">
        <v>378.93</v>
      </c>
      <c r="J76" s="59">
        <v>336.49</v>
      </c>
      <c r="K76" s="60">
        <v>303.92</v>
      </c>
      <c r="L76" s="119">
        <v>170.64</v>
      </c>
      <c r="M76" s="119">
        <v>206.1</v>
      </c>
      <c r="N76" s="119">
        <v>246.1</v>
      </c>
    </row>
    <row r="77" spans="1:14" ht="15.6" x14ac:dyDescent="0.3">
      <c r="A77" s="48" t="s">
        <v>80</v>
      </c>
      <c r="B77" s="121">
        <v>3.22</v>
      </c>
      <c r="C77" s="58">
        <v>3.49</v>
      </c>
      <c r="D77" s="63">
        <v>4.4800000000000004</v>
      </c>
      <c r="E77" s="59">
        <v>4.16</v>
      </c>
      <c r="F77" s="60">
        <v>3.94</v>
      </c>
      <c r="G77" s="60">
        <v>3.08</v>
      </c>
      <c r="H77" s="61">
        <v>3.28</v>
      </c>
      <c r="I77" s="61">
        <v>3.41</v>
      </c>
      <c r="J77" s="59">
        <v>4.6399999999999997</v>
      </c>
      <c r="K77" s="60">
        <v>8.98</v>
      </c>
      <c r="L77" s="119">
        <v>22.79</v>
      </c>
      <c r="M77" s="119">
        <v>18.100000000000001</v>
      </c>
      <c r="N77" s="119">
        <v>34.28</v>
      </c>
    </row>
    <row r="78" spans="1:14" ht="15.6" x14ac:dyDescent="0.3">
      <c r="A78" s="48" t="s">
        <v>81</v>
      </c>
      <c r="B78" s="121">
        <v>24.97</v>
      </c>
      <c r="C78" s="58">
        <v>15.95</v>
      </c>
      <c r="D78" s="63">
        <v>24.42</v>
      </c>
      <c r="E78" s="59">
        <v>16.170000000000002</v>
      </c>
      <c r="F78" s="60">
        <v>204.43</v>
      </c>
      <c r="G78" s="60">
        <v>33.24</v>
      </c>
      <c r="H78" s="61">
        <v>46.54</v>
      </c>
      <c r="I78" s="61">
        <v>53.17</v>
      </c>
      <c r="J78" s="59">
        <v>75.09</v>
      </c>
      <c r="K78" s="60">
        <v>139.88999999999999</v>
      </c>
      <c r="L78" s="119">
        <v>65.180000000000007</v>
      </c>
      <c r="M78" s="119">
        <v>80.41</v>
      </c>
      <c r="N78" s="119">
        <v>90.33</v>
      </c>
    </row>
    <row r="79" spans="1:14" ht="15.6" x14ac:dyDescent="0.3">
      <c r="A79" s="48" t="s">
        <v>367</v>
      </c>
      <c r="B79" s="127" t="s">
        <v>54</v>
      </c>
      <c r="C79" s="58">
        <v>3.15</v>
      </c>
      <c r="D79" s="63">
        <v>2.09</v>
      </c>
      <c r="E79" s="59">
        <v>10.220000000000001</v>
      </c>
      <c r="F79" s="60">
        <v>1171</v>
      </c>
      <c r="G79" s="60">
        <v>540.53</v>
      </c>
      <c r="H79" s="61">
        <v>541.77</v>
      </c>
      <c r="I79" s="61">
        <v>574.24</v>
      </c>
      <c r="J79" s="59">
        <v>671.55</v>
      </c>
      <c r="K79" s="60">
        <v>438.44</v>
      </c>
      <c r="L79" s="119">
        <v>453.2</v>
      </c>
      <c r="M79" s="119">
        <v>381.72</v>
      </c>
      <c r="N79" s="119">
        <v>792.85</v>
      </c>
    </row>
    <row r="80" spans="1:14" ht="15.6" x14ac:dyDescent="0.3">
      <c r="A80" s="48" t="s">
        <v>284</v>
      </c>
      <c r="B80" s="121">
        <v>1.29</v>
      </c>
      <c r="C80" s="58">
        <v>0.06</v>
      </c>
      <c r="D80" s="63">
        <v>0.05</v>
      </c>
      <c r="E80" s="59">
        <v>0.01</v>
      </c>
      <c r="F80" s="60">
        <v>0</v>
      </c>
      <c r="G80" s="60">
        <v>0</v>
      </c>
      <c r="H80" s="65" t="s">
        <v>54</v>
      </c>
      <c r="I80" s="61">
        <v>103.58</v>
      </c>
      <c r="J80" s="59">
        <v>199.63</v>
      </c>
      <c r="K80" s="60">
        <v>7.11</v>
      </c>
      <c r="L80" s="119">
        <v>3.99</v>
      </c>
      <c r="M80" s="119">
        <v>87.45</v>
      </c>
      <c r="N80" s="119">
        <v>221.69</v>
      </c>
    </row>
    <row r="81" spans="1:14" ht="15.6" x14ac:dyDescent="0.3">
      <c r="A81" s="48" t="s">
        <v>368</v>
      </c>
      <c r="B81" s="127" t="s">
        <v>54</v>
      </c>
      <c r="C81" s="59">
        <v>0</v>
      </c>
      <c r="D81" s="59">
        <v>0</v>
      </c>
      <c r="E81" s="59">
        <v>0</v>
      </c>
      <c r="F81" s="62" t="s">
        <v>55</v>
      </c>
      <c r="G81" s="62" t="s">
        <v>55</v>
      </c>
      <c r="H81" s="62" t="s">
        <v>55</v>
      </c>
      <c r="I81" s="65" t="s">
        <v>54</v>
      </c>
      <c r="J81" s="59">
        <v>0</v>
      </c>
      <c r="K81" s="60">
        <v>0.09</v>
      </c>
      <c r="L81" s="119">
        <v>22.53</v>
      </c>
      <c r="M81" s="119">
        <v>7.41</v>
      </c>
      <c r="N81" s="119">
        <v>14.03</v>
      </c>
    </row>
    <row r="82" spans="1:14" ht="15.6" x14ac:dyDescent="0.3">
      <c r="A82" s="48" t="s">
        <v>84</v>
      </c>
      <c r="B82" s="121">
        <v>15.67</v>
      </c>
      <c r="C82" s="58">
        <v>16.21</v>
      </c>
      <c r="D82" s="63">
        <v>17.440000000000001</v>
      </c>
      <c r="E82" s="59">
        <v>18.88</v>
      </c>
      <c r="F82" s="60">
        <v>21.75</v>
      </c>
      <c r="G82" s="60">
        <v>22.27</v>
      </c>
      <c r="H82" s="61">
        <v>22.47</v>
      </c>
      <c r="I82" s="61">
        <v>23.18</v>
      </c>
      <c r="J82" s="59">
        <v>21.54</v>
      </c>
      <c r="K82" s="60">
        <v>21.16</v>
      </c>
      <c r="L82" s="119">
        <v>21.95</v>
      </c>
      <c r="M82" s="119">
        <v>18.16</v>
      </c>
      <c r="N82" s="119">
        <v>34.380000000000003</v>
      </c>
    </row>
    <row r="83" spans="1:14" ht="15.6" x14ac:dyDescent="0.3">
      <c r="A83" s="48" t="s">
        <v>290</v>
      </c>
      <c r="B83" s="48" t="s">
        <v>55</v>
      </c>
      <c r="C83" s="62" t="s">
        <v>54</v>
      </c>
      <c r="D83" s="62" t="s">
        <v>54</v>
      </c>
      <c r="E83" s="62" t="s">
        <v>54</v>
      </c>
      <c r="F83" s="62" t="s">
        <v>54</v>
      </c>
      <c r="G83" s="62" t="s">
        <v>54</v>
      </c>
      <c r="H83" s="62" t="s">
        <v>54</v>
      </c>
      <c r="I83" s="61" t="s">
        <v>55</v>
      </c>
      <c r="J83" s="59" t="s">
        <v>55</v>
      </c>
      <c r="K83" s="60">
        <v>93.48</v>
      </c>
      <c r="L83" s="119">
        <v>40.68</v>
      </c>
      <c r="M83" s="119">
        <v>18.53</v>
      </c>
      <c r="N83" s="119">
        <v>67.09</v>
      </c>
    </row>
    <row r="84" spans="1:14" ht="15.6" x14ac:dyDescent="0.3">
      <c r="A84" s="48" t="s">
        <v>86</v>
      </c>
      <c r="B84" s="48" t="s">
        <v>55</v>
      </c>
      <c r="C84" s="62" t="s">
        <v>54</v>
      </c>
      <c r="D84" s="62" t="s">
        <v>54</v>
      </c>
      <c r="E84" s="62" t="s">
        <v>54</v>
      </c>
      <c r="F84" s="62" t="s">
        <v>54</v>
      </c>
      <c r="G84" s="62" t="s">
        <v>54</v>
      </c>
      <c r="H84" s="61">
        <v>11.69</v>
      </c>
      <c r="I84" s="61">
        <v>10.98</v>
      </c>
      <c r="J84" s="59">
        <v>7.93</v>
      </c>
      <c r="K84" s="60">
        <v>83.63</v>
      </c>
      <c r="L84" s="119">
        <v>35.39</v>
      </c>
      <c r="M84" s="119">
        <v>28.9</v>
      </c>
      <c r="N84" s="119">
        <v>63.21</v>
      </c>
    </row>
    <row r="85" spans="1:14" ht="15.6" x14ac:dyDescent="0.3">
      <c r="A85" s="48" t="s">
        <v>88</v>
      </c>
      <c r="B85" s="48" t="s">
        <v>55</v>
      </c>
      <c r="C85" s="62" t="s">
        <v>54</v>
      </c>
      <c r="D85" s="62" t="s">
        <v>54</v>
      </c>
      <c r="E85" s="59">
        <v>19</v>
      </c>
      <c r="F85" s="62" t="s">
        <v>54</v>
      </c>
      <c r="G85" s="60">
        <v>3.45</v>
      </c>
      <c r="H85" s="61">
        <v>3.13</v>
      </c>
      <c r="I85" s="61">
        <v>9.08</v>
      </c>
      <c r="J85" s="59">
        <v>7.68</v>
      </c>
      <c r="K85" s="60">
        <v>24.73</v>
      </c>
      <c r="L85" s="119">
        <v>23.49</v>
      </c>
      <c r="M85" s="119">
        <v>1.41</v>
      </c>
      <c r="N85" s="119">
        <v>0.14000000000000001</v>
      </c>
    </row>
    <row r="86" spans="1:14" ht="15.6" x14ac:dyDescent="0.3">
      <c r="A86" s="48" t="s">
        <v>90</v>
      </c>
      <c r="B86" s="121">
        <v>20.52</v>
      </c>
      <c r="C86" s="58">
        <v>17.43</v>
      </c>
      <c r="D86" s="63">
        <v>17.350000000000001</v>
      </c>
      <c r="E86" s="59">
        <v>1.0900000000000001</v>
      </c>
      <c r="F86" s="60">
        <v>34.44</v>
      </c>
      <c r="G86" s="60">
        <v>27.48</v>
      </c>
      <c r="H86" s="61">
        <v>24.2</v>
      </c>
      <c r="I86" s="61">
        <v>9.5</v>
      </c>
      <c r="J86" s="59">
        <v>22.11</v>
      </c>
      <c r="K86" s="60">
        <v>50.96</v>
      </c>
      <c r="L86" s="119">
        <v>57.52</v>
      </c>
      <c r="M86" s="119">
        <v>44.47</v>
      </c>
      <c r="N86" s="119">
        <v>109.19</v>
      </c>
    </row>
    <row r="87" spans="1:14" ht="15.6" x14ac:dyDescent="0.3">
      <c r="A87" s="48" t="s">
        <v>91</v>
      </c>
      <c r="B87" s="121">
        <v>0.16</v>
      </c>
      <c r="C87" s="58">
        <v>0.52</v>
      </c>
      <c r="D87" s="63">
        <v>1.04</v>
      </c>
      <c r="E87" s="59">
        <v>5419.18</v>
      </c>
      <c r="F87" s="60">
        <v>1.77</v>
      </c>
      <c r="G87" s="60">
        <v>2.97</v>
      </c>
      <c r="H87" s="61">
        <v>3.39</v>
      </c>
      <c r="I87" s="61">
        <v>89.6</v>
      </c>
      <c r="J87" s="59">
        <v>282.49</v>
      </c>
      <c r="K87" s="60">
        <v>204.56</v>
      </c>
      <c r="L87" s="119">
        <v>441.17</v>
      </c>
      <c r="M87" s="119">
        <v>259.39</v>
      </c>
      <c r="N87" s="119">
        <v>591.09</v>
      </c>
    </row>
    <row r="88" spans="1:14" ht="15.6" x14ac:dyDescent="0.3">
      <c r="A88" s="48" t="s">
        <v>297</v>
      </c>
      <c r="B88" s="121">
        <v>3064.62</v>
      </c>
      <c r="C88" s="58">
        <v>3286.6</v>
      </c>
      <c r="D88" s="63">
        <v>14287.66</v>
      </c>
      <c r="E88" s="59">
        <v>10796.93</v>
      </c>
      <c r="F88" s="60">
        <v>1975.99</v>
      </c>
      <c r="G88" s="60">
        <v>3651.31</v>
      </c>
      <c r="H88" s="61">
        <v>2350.86</v>
      </c>
      <c r="I88" s="61">
        <v>4317.8900000000003</v>
      </c>
      <c r="J88" s="59">
        <v>7651.44</v>
      </c>
      <c r="K88" s="60">
        <v>6114.87</v>
      </c>
      <c r="L88" s="119">
        <v>3782.11</v>
      </c>
      <c r="M88" s="119">
        <v>5213.78</v>
      </c>
      <c r="N88" s="119">
        <v>5798.75</v>
      </c>
    </row>
    <row r="89" spans="1:14" ht="15.6" x14ac:dyDescent="0.3">
      <c r="A89" s="48" t="s">
        <v>95</v>
      </c>
      <c r="B89" s="121">
        <v>16524.64</v>
      </c>
      <c r="C89" s="58">
        <v>14480.07</v>
      </c>
      <c r="D89" s="63">
        <v>9491.98</v>
      </c>
      <c r="E89" s="59">
        <v>432.73</v>
      </c>
      <c r="F89" s="60">
        <v>10878.8</v>
      </c>
      <c r="G89" s="60">
        <v>14197.38</v>
      </c>
      <c r="H89" s="61">
        <v>11841.14</v>
      </c>
      <c r="I89" s="61">
        <v>6662.2</v>
      </c>
      <c r="J89" s="59">
        <v>20036.64</v>
      </c>
      <c r="K89" s="60">
        <v>19785.02</v>
      </c>
      <c r="L89" s="119">
        <v>17352.349999999999</v>
      </c>
      <c r="M89" s="119">
        <v>14277.33</v>
      </c>
      <c r="N89" s="119">
        <v>21195.43</v>
      </c>
    </row>
    <row r="90" spans="1:14" ht="15.6" x14ac:dyDescent="0.3">
      <c r="A90" s="48" t="s">
        <v>96</v>
      </c>
      <c r="B90" s="121">
        <v>136.19</v>
      </c>
      <c r="C90" s="58">
        <v>6179.26</v>
      </c>
      <c r="D90" s="63">
        <v>545.09</v>
      </c>
      <c r="E90" s="59">
        <v>0</v>
      </c>
      <c r="F90" s="60">
        <v>4.45</v>
      </c>
      <c r="G90" s="60">
        <v>104.38</v>
      </c>
      <c r="H90" s="61">
        <v>-2.65</v>
      </c>
      <c r="I90" s="61">
        <v>14.53</v>
      </c>
      <c r="J90" s="59">
        <v>0.25</v>
      </c>
      <c r="K90" s="60">
        <v>2.14</v>
      </c>
      <c r="L90" s="119">
        <v>46.26</v>
      </c>
      <c r="M90" s="119">
        <v>37.799999999999997</v>
      </c>
      <c r="N90" s="119">
        <v>71.56</v>
      </c>
    </row>
    <row r="91" spans="1:14" ht="15.6" x14ac:dyDescent="0.3">
      <c r="A91" s="48" t="s">
        <v>369</v>
      </c>
      <c r="B91" s="121">
        <v>0.9</v>
      </c>
      <c r="C91" s="58">
        <v>0.14000000000000001</v>
      </c>
      <c r="D91" s="63" t="s">
        <v>54</v>
      </c>
      <c r="E91" s="59">
        <v>28.1</v>
      </c>
      <c r="F91" s="60">
        <v>48.23</v>
      </c>
      <c r="G91" s="60">
        <v>0.04</v>
      </c>
      <c r="H91" s="61">
        <v>0.04</v>
      </c>
      <c r="I91" s="61">
        <v>0.01</v>
      </c>
      <c r="J91" s="59">
        <v>0.15</v>
      </c>
      <c r="K91" s="60">
        <v>2.57</v>
      </c>
      <c r="L91" s="119">
        <v>16.57</v>
      </c>
      <c r="M91" s="119">
        <v>28.2</v>
      </c>
      <c r="N91" s="119">
        <v>53.39</v>
      </c>
    </row>
    <row r="92" spans="1:14" ht="15.6" x14ac:dyDescent="0.3">
      <c r="A92" s="48" t="s">
        <v>99</v>
      </c>
      <c r="B92" s="121">
        <v>29.09</v>
      </c>
      <c r="C92" s="58">
        <v>23.96</v>
      </c>
      <c r="D92" s="63">
        <v>19.260000000000002</v>
      </c>
      <c r="E92" s="59">
        <v>3046.12</v>
      </c>
      <c r="F92" s="60">
        <v>45.33</v>
      </c>
      <c r="G92" s="60">
        <v>89.91</v>
      </c>
      <c r="H92" s="61">
        <v>33.51</v>
      </c>
      <c r="I92" s="61">
        <v>43.4</v>
      </c>
      <c r="J92" s="59">
        <v>30.38</v>
      </c>
      <c r="K92" s="60">
        <v>120.47</v>
      </c>
      <c r="L92" s="119">
        <v>100.7</v>
      </c>
      <c r="M92" s="119">
        <v>54.9</v>
      </c>
      <c r="N92" s="119">
        <v>118.69</v>
      </c>
    </row>
    <row r="93" spans="1:14" ht="15.6" x14ac:dyDescent="0.3">
      <c r="A93" s="48" t="s">
        <v>299</v>
      </c>
      <c r="B93" s="121">
        <v>1758.9</v>
      </c>
      <c r="C93" s="58">
        <v>2024.63</v>
      </c>
      <c r="D93" s="63">
        <v>1639.31</v>
      </c>
      <c r="E93" s="59">
        <v>16.12</v>
      </c>
      <c r="F93" s="60">
        <v>1861.48</v>
      </c>
      <c r="G93" s="60">
        <v>2068.71</v>
      </c>
      <c r="H93" s="61">
        <v>1948.5</v>
      </c>
      <c r="I93" s="61">
        <v>1951.67</v>
      </c>
      <c r="J93" s="59">
        <v>3459.29</v>
      </c>
      <c r="K93" s="60">
        <v>3044.16</v>
      </c>
      <c r="L93" s="119">
        <v>3686.41</v>
      </c>
      <c r="M93" s="119">
        <v>3507.52</v>
      </c>
      <c r="N93" s="119">
        <v>4436.62</v>
      </c>
    </row>
    <row r="94" spans="1:14" ht="15.6" x14ac:dyDescent="0.3">
      <c r="A94" s="48" t="s">
        <v>101</v>
      </c>
      <c r="B94" s="121">
        <v>20.56</v>
      </c>
      <c r="C94" s="58">
        <v>18.21</v>
      </c>
      <c r="D94" s="63">
        <v>26.82</v>
      </c>
      <c r="E94" s="59">
        <v>219.19</v>
      </c>
      <c r="F94" s="60">
        <v>1215.93</v>
      </c>
      <c r="G94" s="60">
        <v>287.55</v>
      </c>
      <c r="H94" s="61">
        <v>707.98</v>
      </c>
      <c r="I94" s="61">
        <v>641.24</v>
      </c>
      <c r="J94" s="59">
        <v>924.85</v>
      </c>
      <c r="K94" s="60">
        <v>927.01</v>
      </c>
      <c r="L94" s="119">
        <v>1010.47</v>
      </c>
      <c r="M94" s="119">
        <v>928.51</v>
      </c>
      <c r="N94" s="119">
        <v>1363.87</v>
      </c>
    </row>
    <row r="95" spans="1:14" ht="15.6" x14ac:dyDescent="0.3">
      <c r="A95" s="48" t="s">
        <v>107</v>
      </c>
      <c r="B95" s="121">
        <v>347.55</v>
      </c>
      <c r="C95" s="58">
        <v>255.94</v>
      </c>
      <c r="D95" s="63">
        <v>231.21</v>
      </c>
      <c r="E95" s="59">
        <v>90.28</v>
      </c>
      <c r="F95" s="60">
        <v>182.65</v>
      </c>
      <c r="G95" s="60">
        <v>155.69</v>
      </c>
      <c r="H95" s="61">
        <v>195.27</v>
      </c>
      <c r="I95" s="61">
        <v>164.95</v>
      </c>
      <c r="J95" s="59">
        <v>204</v>
      </c>
      <c r="K95" s="60">
        <v>284.5</v>
      </c>
      <c r="L95" s="119">
        <v>226.31</v>
      </c>
      <c r="M95" s="119">
        <v>287.58</v>
      </c>
      <c r="N95" s="119">
        <v>326.8</v>
      </c>
    </row>
    <row r="96" spans="1:14" ht="15.6" x14ac:dyDescent="0.3">
      <c r="A96" s="48" t="s">
        <v>370</v>
      </c>
      <c r="B96" s="127" t="s">
        <v>54</v>
      </c>
      <c r="C96" s="58" t="s">
        <v>55</v>
      </c>
      <c r="D96" s="63">
        <v>4046.1</v>
      </c>
      <c r="E96" s="59">
        <v>161582.66</v>
      </c>
      <c r="F96" s="60">
        <v>204.33</v>
      </c>
      <c r="G96" s="60">
        <v>600.79</v>
      </c>
      <c r="H96" s="61">
        <v>338.09</v>
      </c>
      <c r="I96" s="61">
        <v>213.03</v>
      </c>
      <c r="J96" s="59">
        <v>160.53</v>
      </c>
      <c r="K96" s="60">
        <v>194.4</v>
      </c>
      <c r="L96" s="119">
        <v>820.78</v>
      </c>
      <c r="M96" s="119">
        <v>400</v>
      </c>
      <c r="N96" s="119">
        <v>700</v>
      </c>
    </row>
    <row r="97" spans="1:14" ht="15.6" x14ac:dyDescent="0.3">
      <c r="A97" s="48" t="s">
        <v>371</v>
      </c>
      <c r="B97" s="127" t="s">
        <v>54</v>
      </c>
      <c r="C97" s="58" t="s">
        <v>55</v>
      </c>
      <c r="D97" s="63">
        <v>163497.01</v>
      </c>
      <c r="E97" s="59">
        <v>3709.54</v>
      </c>
      <c r="F97" s="60">
        <v>176718.83</v>
      </c>
      <c r="G97" s="60">
        <v>187738.49</v>
      </c>
      <c r="H97" s="61">
        <v>172258.5</v>
      </c>
      <c r="I97" s="61">
        <v>138264.01999999999</v>
      </c>
      <c r="J97" s="59">
        <v>188687.76</v>
      </c>
      <c r="K97" s="60">
        <v>237295.81</v>
      </c>
      <c r="L97" s="119">
        <v>252540.84</v>
      </c>
      <c r="M97" s="119">
        <v>276714</v>
      </c>
      <c r="N97" s="119">
        <v>299245</v>
      </c>
    </row>
    <row r="98" spans="1:14" ht="15.6" x14ac:dyDescent="0.3">
      <c r="A98" s="48" t="s">
        <v>372</v>
      </c>
      <c r="B98" s="127" t="s">
        <v>54</v>
      </c>
      <c r="C98" s="58" t="s">
        <v>55</v>
      </c>
      <c r="D98" s="63">
        <v>836.5</v>
      </c>
      <c r="E98" s="59">
        <v>364.64</v>
      </c>
      <c r="F98" s="60">
        <v>2006.48</v>
      </c>
      <c r="G98" s="60">
        <v>2168.08</v>
      </c>
      <c r="H98" s="61">
        <v>2098.1</v>
      </c>
      <c r="I98" s="61">
        <v>2306.5</v>
      </c>
      <c r="J98" s="59">
        <v>2518.7199999999998</v>
      </c>
      <c r="K98" s="60">
        <v>2686.75</v>
      </c>
      <c r="L98" s="119">
        <v>2731.79</v>
      </c>
      <c r="M98" s="119">
        <v>1886</v>
      </c>
      <c r="N98" s="119">
        <v>2155</v>
      </c>
    </row>
    <row r="99" spans="1:14" ht="15.6" x14ac:dyDescent="0.3">
      <c r="A99" s="48" t="s">
        <v>112</v>
      </c>
      <c r="B99" s="121">
        <v>225.03</v>
      </c>
      <c r="C99" s="58">
        <v>255.94</v>
      </c>
      <c r="D99" s="63">
        <v>281.86</v>
      </c>
      <c r="E99" s="59">
        <v>140.35</v>
      </c>
      <c r="F99" s="60">
        <v>325.86</v>
      </c>
      <c r="G99" s="60">
        <v>307.14</v>
      </c>
      <c r="H99" s="61">
        <v>330.37</v>
      </c>
      <c r="I99" s="61">
        <v>384.07</v>
      </c>
      <c r="J99" s="59">
        <v>371.3</v>
      </c>
      <c r="K99" s="60">
        <v>401.18</v>
      </c>
      <c r="L99" s="119">
        <v>441.84</v>
      </c>
      <c r="M99" s="119">
        <v>488.65</v>
      </c>
      <c r="N99" s="119">
        <v>513.65</v>
      </c>
    </row>
    <row r="100" spans="1:14" ht="15.6" x14ac:dyDescent="0.3">
      <c r="A100" s="48" t="s">
        <v>113</v>
      </c>
      <c r="B100" s="121">
        <v>73.09</v>
      </c>
      <c r="C100" s="58">
        <v>222.28</v>
      </c>
      <c r="D100" s="63">
        <v>108.18</v>
      </c>
      <c r="E100" s="59">
        <v>38.659999999999997</v>
      </c>
      <c r="F100" s="60">
        <v>114.62</v>
      </c>
      <c r="G100" s="60">
        <v>98.41</v>
      </c>
      <c r="H100" s="61">
        <v>86.36</v>
      </c>
      <c r="I100" s="61">
        <v>112.38</v>
      </c>
      <c r="J100" s="59">
        <v>86.71</v>
      </c>
      <c r="K100" s="60">
        <v>98.31</v>
      </c>
      <c r="L100" s="119">
        <v>107.92</v>
      </c>
      <c r="M100" s="119">
        <v>84.6</v>
      </c>
      <c r="N100" s="119">
        <v>160.16</v>
      </c>
    </row>
    <row r="101" spans="1:14" ht="15.6" x14ac:dyDescent="0.3">
      <c r="A101" s="48" t="s">
        <v>114</v>
      </c>
      <c r="B101" s="121">
        <v>32.049999999999997</v>
      </c>
      <c r="C101" s="58">
        <v>83.69</v>
      </c>
      <c r="D101" s="63">
        <v>34.56</v>
      </c>
      <c r="E101" s="59">
        <v>7323.72</v>
      </c>
      <c r="F101" s="60">
        <v>67.52</v>
      </c>
      <c r="G101" s="60">
        <v>133.54</v>
      </c>
      <c r="H101" s="61">
        <v>258.66000000000003</v>
      </c>
      <c r="I101" s="61">
        <v>144.53</v>
      </c>
      <c r="J101" s="59">
        <v>234.84</v>
      </c>
      <c r="K101" s="60">
        <v>199.72</v>
      </c>
      <c r="L101" s="119">
        <v>278.12</v>
      </c>
      <c r="M101" s="119">
        <v>393.97</v>
      </c>
      <c r="N101" s="119">
        <v>844.39</v>
      </c>
    </row>
    <row r="102" spans="1:14" ht="15.6" x14ac:dyDescent="0.3">
      <c r="A102" s="48" t="s">
        <v>115</v>
      </c>
      <c r="B102" s="121">
        <v>5297.83</v>
      </c>
      <c r="C102" s="58">
        <v>33.51</v>
      </c>
      <c r="D102" s="63">
        <v>6887.31</v>
      </c>
      <c r="E102" s="59">
        <v>0</v>
      </c>
      <c r="F102" s="60">
        <v>9064.07</v>
      </c>
      <c r="G102" s="60">
        <v>19866</v>
      </c>
      <c r="H102" s="61">
        <v>10394.379999999999</v>
      </c>
      <c r="I102" s="61">
        <v>10478.52</v>
      </c>
      <c r="J102" s="59">
        <v>14330</v>
      </c>
      <c r="K102" s="60">
        <v>22469.99</v>
      </c>
      <c r="L102" s="119">
        <v>28373.88</v>
      </c>
      <c r="M102" s="119">
        <v>25353.71</v>
      </c>
      <c r="N102" s="119">
        <v>36600</v>
      </c>
    </row>
    <row r="103" spans="1:14" ht="15.6" x14ac:dyDescent="0.3">
      <c r="A103" s="48" t="s">
        <v>116</v>
      </c>
      <c r="B103" s="127" t="s">
        <v>54</v>
      </c>
      <c r="C103" s="58">
        <v>6102.87</v>
      </c>
      <c r="D103" s="63" t="s">
        <v>54</v>
      </c>
      <c r="E103" s="59">
        <v>12.48</v>
      </c>
      <c r="F103" s="65" t="s">
        <v>54</v>
      </c>
      <c r="G103" s="65" t="s">
        <v>54</v>
      </c>
      <c r="H103" s="65" t="s">
        <v>54</v>
      </c>
      <c r="I103" s="65" t="s">
        <v>54</v>
      </c>
      <c r="J103" s="59">
        <v>0</v>
      </c>
      <c r="K103" s="60">
        <v>0</v>
      </c>
      <c r="L103" s="119">
        <v>7.47</v>
      </c>
      <c r="M103" s="119">
        <v>9</v>
      </c>
      <c r="N103" s="119">
        <v>9</v>
      </c>
    </row>
    <row r="104" spans="1:14" ht="15.6" x14ac:dyDescent="0.3">
      <c r="A104" s="48" t="s">
        <v>117</v>
      </c>
      <c r="B104" s="127" t="s">
        <v>54</v>
      </c>
      <c r="C104" s="58">
        <v>8.01</v>
      </c>
      <c r="D104" s="63">
        <v>9.14</v>
      </c>
      <c r="E104" s="59">
        <v>0</v>
      </c>
      <c r="F104" s="60">
        <v>19.309999999999999</v>
      </c>
      <c r="G104" s="60">
        <v>24.72</v>
      </c>
      <c r="H104" s="65" t="s">
        <v>54</v>
      </c>
      <c r="I104" s="61">
        <v>29.96</v>
      </c>
      <c r="J104" s="59">
        <v>19.510000000000002</v>
      </c>
      <c r="K104" s="60">
        <v>11.82</v>
      </c>
      <c r="L104" s="119">
        <v>13.97</v>
      </c>
      <c r="M104" s="119">
        <v>11.12</v>
      </c>
      <c r="N104" s="119">
        <v>21.05</v>
      </c>
    </row>
    <row r="105" spans="1:14" ht="15.6" x14ac:dyDescent="0.3">
      <c r="A105" s="48" t="s">
        <v>373</v>
      </c>
      <c r="B105" s="121">
        <v>10730.42</v>
      </c>
      <c r="C105" s="58">
        <v>11635.98</v>
      </c>
      <c r="D105" s="63">
        <v>12939.79</v>
      </c>
      <c r="E105" s="59">
        <v>11511</v>
      </c>
      <c r="F105" s="60">
        <v>12832.76</v>
      </c>
      <c r="G105" s="60">
        <v>13195.68</v>
      </c>
      <c r="H105" s="61">
        <v>13558.2</v>
      </c>
      <c r="I105" s="61">
        <v>10632.31</v>
      </c>
      <c r="J105" s="59">
        <v>10860.8</v>
      </c>
      <c r="K105" s="60">
        <v>10917.89</v>
      </c>
      <c r="L105" s="119">
        <v>11321.36</v>
      </c>
      <c r="M105" s="119">
        <v>12207.01</v>
      </c>
      <c r="N105" s="119">
        <v>12487.11</v>
      </c>
    </row>
    <row r="106" spans="1:14" ht="15.6" x14ac:dyDescent="0.3">
      <c r="A106" s="48" t="s">
        <v>122</v>
      </c>
      <c r="B106" s="121">
        <v>40113.760000000002</v>
      </c>
      <c r="C106" s="58">
        <v>30624.18</v>
      </c>
      <c r="D106" s="63">
        <v>56478.61</v>
      </c>
      <c r="E106" s="59">
        <v>70241.14</v>
      </c>
      <c r="F106" s="60">
        <v>32065.9</v>
      </c>
      <c r="G106" s="60">
        <v>40815.730000000003</v>
      </c>
      <c r="H106" s="61">
        <v>69846.429999999993</v>
      </c>
      <c r="I106" s="61">
        <v>45500.65</v>
      </c>
      <c r="J106" s="59">
        <v>85828.07</v>
      </c>
      <c r="K106" s="60">
        <v>64835.17</v>
      </c>
      <c r="L106" s="119">
        <v>90659.26</v>
      </c>
      <c r="M106" s="119">
        <v>123357.2</v>
      </c>
      <c r="N106" s="119">
        <v>82442.84</v>
      </c>
    </row>
    <row r="107" spans="1:14" ht="15.6" x14ac:dyDescent="0.3">
      <c r="A107" s="48" t="s">
        <v>124</v>
      </c>
      <c r="B107" s="121">
        <v>64.790000000000006</v>
      </c>
      <c r="C107" s="58">
        <v>48.73</v>
      </c>
      <c r="D107" s="63">
        <v>58.33</v>
      </c>
      <c r="E107" s="59">
        <v>103.76</v>
      </c>
      <c r="F107" s="60">
        <v>84.09</v>
      </c>
      <c r="G107" s="60">
        <v>115.16</v>
      </c>
      <c r="H107" s="61">
        <v>96.59</v>
      </c>
      <c r="I107" s="61">
        <v>84.86</v>
      </c>
      <c r="J107" s="59">
        <v>130.03</v>
      </c>
      <c r="K107" s="60">
        <v>117.47</v>
      </c>
      <c r="L107" s="119">
        <v>125.48</v>
      </c>
      <c r="M107" s="119">
        <v>127.98</v>
      </c>
      <c r="N107" s="119">
        <v>165.47</v>
      </c>
    </row>
    <row r="108" spans="1:14" ht="15.6" x14ac:dyDescent="0.3">
      <c r="A108" s="48" t="s">
        <v>309</v>
      </c>
      <c r="B108" s="121">
        <v>638.42999999999995</v>
      </c>
      <c r="C108" s="58">
        <v>768.02</v>
      </c>
      <c r="D108" s="63">
        <v>852.88</v>
      </c>
      <c r="E108" s="59">
        <v>1052.69</v>
      </c>
      <c r="F108" s="60">
        <v>1027.28</v>
      </c>
      <c r="G108" s="60">
        <v>1605.16</v>
      </c>
      <c r="H108" s="61">
        <v>1331.74</v>
      </c>
      <c r="I108" s="61">
        <v>1044.68</v>
      </c>
      <c r="J108" s="59">
        <v>1812.96</v>
      </c>
      <c r="K108" s="60">
        <v>3437.37</v>
      </c>
      <c r="L108" s="119">
        <v>2927.83</v>
      </c>
      <c r="M108" s="119">
        <v>1144.45</v>
      </c>
      <c r="N108" s="119">
        <v>1880.8</v>
      </c>
    </row>
    <row r="109" spans="1:14" ht="15.6" x14ac:dyDescent="0.3">
      <c r="A109" s="48" t="s">
        <v>129</v>
      </c>
      <c r="B109" s="121">
        <v>26.69</v>
      </c>
      <c r="C109" s="58">
        <v>10.88</v>
      </c>
      <c r="D109" s="63">
        <v>13.59</v>
      </c>
      <c r="E109" s="59">
        <v>6.63</v>
      </c>
      <c r="F109" s="60">
        <v>9.2200000000000006</v>
      </c>
      <c r="G109" s="60">
        <v>18.73</v>
      </c>
      <c r="H109" s="61">
        <v>11.63</v>
      </c>
      <c r="I109" s="61">
        <v>3.92</v>
      </c>
      <c r="J109" s="59">
        <v>18.28</v>
      </c>
      <c r="K109" s="60">
        <v>27.13</v>
      </c>
      <c r="L109" s="119">
        <v>29.24</v>
      </c>
      <c r="M109" s="119">
        <v>7.41</v>
      </c>
      <c r="N109" s="119">
        <v>14.03</v>
      </c>
    </row>
    <row r="110" spans="1:14" ht="15.6" x14ac:dyDescent="0.3">
      <c r="A110" s="48" t="s">
        <v>130</v>
      </c>
      <c r="B110" s="121">
        <v>129.97999999999999</v>
      </c>
      <c r="C110" s="58">
        <v>137.51</v>
      </c>
      <c r="D110" s="63">
        <v>229.16</v>
      </c>
      <c r="E110" s="59">
        <v>242.79</v>
      </c>
      <c r="F110" s="60">
        <v>230.13</v>
      </c>
      <c r="G110" s="60">
        <v>313.38</v>
      </c>
      <c r="H110" s="61">
        <v>356.31</v>
      </c>
      <c r="I110" s="61">
        <v>374.02</v>
      </c>
      <c r="J110" s="59">
        <v>421.05</v>
      </c>
      <c r="K110" s="60">
        <v>487.34</v>
      </c>
      <c r="L110" s="119">
        <v>471.44</v>
      </c>
      <c r="M110" s="119">
        <v>408.08</v>
      </c>
      <c r="N110" s="119">
        <v>784.91</v>
      </c>
    </row>
    <row r="111" spans="1:14" ht="15.6" x14ac:dyDescent="0.3">
      <c r="A111" s="48" t="s">
        <v>314</v>
      </c>
      <c r="B111" s="121">
        <v>0.02</v>
      </c>
      <c r="C111" s="58">
        <v>0.02</v>
      </c>
      <c r="D111" s="63">
        <v>0.01</v>
      </c>
      <c r="E111" s="59">
        <v>0.04</v>
      </c>
      <c r="F111" s="60">
        <v>0.04</v>
      </c>
      <c r="G111" s="60">
        <v>0.1</v>
      </c>
      <c r="H111" s="61">
        <v>0.51</v>
      </c>
      <c r="I111" s="61">
        <v>0.01</v>
      </c>
      <c r="J111" s="59">
        <v>0.28999999999999998</v>
      </c>
      <c r="K111" s="60">
        <v>0.17</v>
      </c>
      <c r="L111" s="119">
        <v>0.35</v>
      </c>
      <c r="M111" s="119">
        <v>0</v>
      </c>
      <c r="N111" s="119">
        <v>0</v>
      </c>
    </row>
    <row r="112" spans="1:14" ht="15.6" x14ac:dyDescent="0.3">
      <c r="A112" s="48" t="s">
        <v>134</v>
      </c>
      <c r="B112" s="121">
        <v>3367.56</v>
      </c>
      <c r="C112" s="58">
        <v>4773.0200000000004</v>
      </c>
      <c r="D112" s="63">
        <v>5229.6000000000004</v>
      </c>
      <c r="E112" s="59">
        <v>7800.43</v>
      </c>
      <c r="F112" s="60">
        <v>3420.96</v>
      </c>
      <c r="G112" s="60">
        <v>3776.51</v>
      </c>
      <c r="H112" s="61">
        <v>3600.79</v>
      </c>
      <c r="I112" s="61">
        <v>2946.93</v>
      </c>
      <c r="J112" s="59">
        <v>4827.2</v>
      </c>
      <c r="K112" s="60">
        <v>4297.84</v>
      </c>
      <c r="L112" s="119">
        <v>6629.36</v>
      </c>
      <c r="M112" s="119">
        <v>4559.47</v>
      </c>
      <c r="N112" s="119">
        <v>7221.73</v>
      </c>
    </row>
    <row r="113" spans="1:14" ht="15.6" x14ac:dyDescent="0.3">
      <c r="A113" s="48" t="s">
        <v>374</v>
      </c>
      <c r="B113" s="121">
        <v>143213.88</v>
      </c>
      <c r="C113" s="58">
        <v>161017.25</v>
      </c>
      <c r="D113" s="119">
        <v>0</v>
      </c>
      <c r="E113" s="119">
        <v>0</v>
      </c>
      <c r="F113" s="119">
        <v>0</v>
      </c>
      <c r="G113" s="119">
        <v>0</v>
      </c>
      <c r="H113" s="119">
        <v>0</v>
      </c>
      <c r="I113" s="119">
        <v>0</v>
      </c>
      <c r="J113" s="119">
        <v>0</v>
      </c>
      <c r="K113" s="119">
        <v>0</v>
      </c>
      <c r="L113" s="119"/>
      <c r="M113" s="119"/>
      <c r="N113" s="119">
        <v>0</v>
      </c>
    </row>
    <row r="114" spans="1:14" ht="15.6" x14ac:dyDescent="0.3">
      <c r="A114" s="48" t="s">
        <v>375</v>
      </c>
      <c r="B114" s="120">
        <v>1474.13</v>
      </c>
      <c r="C114" s="53">
        <v>1362.26</v>
      </c>
      <c r="D114" s="54">
        <v>1538.27</v>
      </c>
      <c r="E114" s="55">
        <v>1804.03</v>
      </c>
      <c r="F114" s="56">
        <v>1889.62</v>
      </c>
      <c r="G114" s="56">
        <v>1889.53</v>
      </c>
      <c r="H114" s="67">
        <v>1761.81</v>
      </c>
      <c r="I114" s="67">
        <v>1598.31</v>
      </c>
      <c r="J114" s="55">
        <v>1744.95</v>
      </c>
      <c r="K114" s="56">
        <v>2190.66</v>
      </c>
      <c r="L114" s="118">
        <v>3065.66</v>
      </c>
      <c r="M114" s="118">
        <v>3070.28</v>
      </c>
      <c r="N114" s="118">
        <v>3419.18</v>
      </c>
    </row>
    <row r="115" spans="1:14" ht="15.6" x14ac:dyDescent="0.3">
      <c r="A115" s="48"/>
      <c r="B115" s="48"/>
      <c r="C115" s="48"/>
      <c r="D115" s="54"/>
      <c r="E115" s="48"/>
      <c r="F115" s="48"/>
      <c r="G115" s="48"/>
      <c r="H115" s="48"/>
      <c r="I115" s="48"/>
      <c r="J115" s="48"/>
      <c r="K115" s="48"/>
      <c r="L115" s="48"/>
      <c r="M115" s="48"/>
      <c r="N115" s="48"/>
    </row>
    <row r="116" spans="1:14" ht="15.6" x14ac:dyDescent="0.3">
      <c r="A116" s="51" t="s">
        <v>376</v>
      </c>
      <c r="B116" s="120">
        <v>3618.06</v>
      </c>
      <c r="C116" s="53">
        <v>1599.88</v>
      </c>
      <c r="D116" s="54">
        <v>1881.23</v>
      </c>
      <c r="E116" s="55">
        <v>1299.5899999999999</v>
      </c>
      <c r="F116" s="56">
        <v>3582.2</v>
      </c>
      <c r="G116" s="56">
        <v>1063.19</v>
      </c>
      <c r="H116" s="67">
        <v>372.97</v>
      </c>
      <c r="I116" s="67">
        <v>1751.64</v>
      </c>
      <c r="J116" s="55">
        <v>1305.96</v>
      </c>
      <c r="K116" s="56">
        <v>1887.11</v>
      </c>
      <c r="L116" s="118">
        <v>1012.74</v>
      </c>
      <c r="M116" s="118">
        <v>1175.76</v>
      </c>
      <c r="N116" s="118">
        <v>1174.53</v>
      </c>
    </row>
    <row r="117" spans="1:14" ht="15.6" x14ac:dyDescent="0.3">
      <c r="A117" s="48" t="s">
        <v>377</v>
      </c>
      <c r="B117" s="121">
        <v>3399.22</v>
      </c>
      <c r="C117" s="58">
        <v>1441.84</v>
      </c>
      <c r="D117" s="63">
        <v>1874.23</v>
      </c>
      <c r="E117" s="59">
        <v>1299.5899999999999</v>
      </c>
      <c r="F117" s="60">
        <v>1436.56</v>
      </c>
      <c r="G117" s="60">
        <v>833.2</v>
      </c>
      <c r="H117" s="61">
        <v>367.97</v>
      </c>
      <c r="I117" s="61">
        <v>1001.02</v>
      </c>
      <c r="J117" s="59">
        <v>1195.96</v>
      </c>
      <c r="K117" s="60">
        <v>848.96</v>
      </c>
      <c r="L117" s="119">
        <v>801.43</v>
      </c>
      <c r="M117" s="119">
        <v>1125.76</v>
      </c>
      <c r="N117" s="119">
        <v>1124.53</v>
      </c>
    </row>
    <row r="118" spans="1:14" ht="15.6" x14ac:dyDescent="0.3">
      <c r="A118" s="48" t="s">
        <v>378</v>
      </c>
      <c r="B118" s="121">
        <v>218.84</v>
      </c>
      <c r="C118" s="58">
        <v>158.04</v>
      </c>
      <c r="D118" s="63">
        <v>7</v>
      </c>
      <c r="E118" s="59">
        <v>0</v>
      </c>
      <c r="F118" s="60">
        <v>2145.64</v>
      </c>
      <c r="G118" s="60">
        <v>229.99</v>
      </c>
      <c r="H118" s="61">
        <v>5</v>
      </c>
      <c r="I118" s="125">
        <v>750.62</v>
      </c>
      <c r="J118" s="59">
        <v>110</v>
      </c>
      <c r="K118" s="60">
        <v>1038.1500000000001</v>
      </c>
      <c r="L118" s="119">
        <v>211.31</v>
      </c>
      <c r="M118" s="119">
        <v>50</v>
      </c>
      <c r="N118" s="119">
        <v>50</v>
      </c>
    </row>
    <row r="119" spans="1:14" ht="15.6" x14ac:dyDescent="0.3">
      <c r="A119" s="69" t="s">
        <v>379</v>
      </c>
      <c r="B119" s="120">
        <v>397032.9</v>
      </c>
      <c r="C119" s="53">
        <v>421581.66</v>
      </c>
      <c r="D119" s="54">
        <v>486462.09</v>
      </c>
      <c r="E119" s="55">
        <v>508020.25</v>
      </c>
      <c r="F119" s="56">
        <v>444964.86</v>
      </c>
      <c r="G119" s="56">
        <v>487451.63</v>
      </c>
      <c r="H119" s="67">
        <v>588701.25</v>
      </c>
      <c r="I119" s="67">
        <v>432406.39</v>
      </c>
      <c r="J119" s="55">
        <v>625497.97</v>
      </c>
      <c r="K119" s="56">
        <v>607481.38</v>
      </c>
      <c r="L119" s="118">
        <v>752149.77</v>
      </c>
      <c r="M119" s="118">
        <v>919299.72</v>
      </c>
      <c r="N119" s="118">
        <v>987479.63</v>
      </c>
    </row>
    <row r="120" spans="1:14" ht="15.6" x14ac:dyDescent="0.3">
      <c r="A120" s="69" t="s">
        <v>380</v>
      </c>
      <c r="B120" s="120">
        <v>1217798.79</v>
      </c>
      <c r="C120" s="53">
        <v>1328908.96</v>
      </c>
      <c r="D120" s="54">
        <v>1436160.22</v>
      </c>
      <c r="E120" s="55">
        <v>1615987.98</v>
      </c>
      <c r="F120" s="56">
        <v>1691143.1</v>
      </c>
      <c r="G120" s="56">
        <v>1806462.91</v>
      </c>
      <c r="H120" s="67">
        <v>1948083.53</v>
      </c>
      <c r="I120" s="67">
        <v>1864513.47</v>
      </c>
      <c r="J120" s="55">
        <v>2436421.48</v>
      </c>
      <c r="K120" s="56">
        <v>2713267.2</v>
      </c>
      <c r="L120" s="118">
        <v>3088174.64</v>
      </c>
      <c r="M120" s="118">
        <v>3485869.29</v>
      </c>
      <c r="N120" s="118">
        <v>3835268.52</v>
      </c>
    </row>
    <row r="121" spans="1:14" ht="15.6" x14ac:dyDescent="0.3">
      <c r="A121" s="48" t="s">
        <v>381</v>
      </c>
      <c r="B121" s="121">
        <v>357297.78</v>
      </c>
      <c r="C121" s="58">
        <v>366227.83</v>
      </c>
      <c r="D121" s="63">
        <v>343368.59</v>
      </c>
      <c r="E121" s="59">
        <v>317030.08</v>
      </c>
      <c r="F121" s="60">
        <v>448941.43</v>
      </c>
      <c r="G121" s="60">
        <v>455107.9</v>
      </c>
      <c r="H121" s="61">
        <v>667236.14</v>
      </c>
      <c r="I121" s="61">
        <v>1450338.45</v>
      </c>
      <c r="J121" s="59">
        <v>1031767.33</v>
      </c>
      <c r="K121" s="60">
        <v>1070431.31</v>
      </c>
      <c r="L121" s="119">
        <v>765907.57</v>
      </c>
      <c r="M121" s="119">
        <v>610737.78</v>
      </c>
      <c r="N121" s="119">
        <v>524433.89</v>
      </c>
    </row>
    <row r="122" spans="1:14" ht="15.6" x14ac:dyDescent="0.3">
      <c r="A122" s="69" t="s">
        <v>382</v>
      </c>
      <c r="B122" s="128">
        <v>1575096.57</v>
      </c>
      <c r="C122" s="53">
        <v>1695136.79</v>
      </c>
      <c r="D122" s="54">
        <v>1779528.81</v>
      </c>
      <c r="E122" s="82">
        <v>1933018.06</v>
      </c>
      <c r="F122" s="83">
        <v>2140084.5299999998</v>
      </c>
      <c r="G122" s="83">
        <v>2261570.81</v>
      </c>
      <c r="H122" s="129">
        <v>2615319.67</v>
      </c>
      <c r="I122" s="129">
        <v>3314851.92</v>
      </c>
      <c r="J122" s="82">
        <v>3468188.81</v>
      </c>
      <c r="K122" s="83">
        <v>3783698.51</v>
      </c>
      <c r="L122" s="130">
        <v>3854082.21</v>
      </c>
      <c r="M122" s="130">
        <v>4096607.07</v>
      </c>
      <c r="N122" s="130">
        <v>4359702.41</v>
      </c>
    </row>
  </sheetData>
  <mergeCells count="1">
    <mergeCell ref="A1:N1"/>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C0952-D3BE-411B-8DDB-798E31D4E1F8}">
  <dimension ref="A1:N141"/>
  <sheetViews>
    <sheetView zoomScale="58" workbookViewId="0">
      <selection activeCell="D14" sqref="D14"/>
    </sheetView>
  </sheetViews>
  <sheetFormatPr defaultRowHeight="14.4" x14ac:dyDescent="0.3"/>
  <cols>
    <col min="1" max="1" width="78.33203125" customWidth="1"/>
    <col min="2" max="2" width="22.33203125" customWidth="1"/>
    <col min="3" max="3" width="17.6640625" customWidth="1"/>
    <col min="4" max="4" width="20.109375" customWidth="1"/>
    <col min="5" max="5" width="20.21875" customWidth="1"/>
    <col min="6" max="6" width="21.5546875" customWidth="1"/>
    <col min="7" max="7" width="19.5546875" customWidth="1"/>
    <col min="8" max="8" width="16.77734375" customWidth="1"/>
    <col min="9" max="9" width="16.5546875" customWidth="1"/>
    <col min="10" max="10" width="16.6640625" customWidth="1"/>
    <col min="11" max="11" width="17.6640625" customWidth="1"/>
    <col min="12" max="12" width="18.109375" customWidth="1"/>
    <col min="13" max="13" width="28.44140625" customWidth="1"/>
    <col min="14" max="14" width="28.21875" customWidth="1"/>
  </cols>
  <sheetData>
    <row r="1" spans="1:14" x14ac:dyDescent="0.3">
      <c r="A1" s="165" t="s">
        <v>235</v>
      </c>
      <c r="B1" s="165"/>
      <c r="C1" s="165"/>
      <c r="D1" s="165"/>
      <c r="E1" s="165"/>
      <c r="F1" s="165"/>
      <c r="G1" s="165"/>
      <c r="H1" s="165"/>
      <c r="I1" s="165"/>
      <c r="J1" s="165"/>
      <c r="K1" s="165"/>
      <c r="L1" s="165"/>
      <c r="M1" s="165"/>
      <c r="N1" s="165"/>
    </row>
    <row r="2" spans="1:14" ht="52.2" customHeight="1" x14ac:dyDescent="0.3">
      <c r="A2" s="114" t="s">
        <v>234</v>
      </c>
      <c r="B2" s="114" t="s">
        <v>39</v>
      </c>
      <c r="C2" s="114" t="s">
        <v>40</v>
      </c>
      <c r="D2" s="114" t="s">
        <v>41</v>
      </c>
      <c r="E2" s="114" t="s">
        <v>42</v>
      </c>
      <c r="F2" s="114" t="s">
        <v>43</v>
      </c>
      <c r="G2" s="114" t="s">
        <v>44</v>
      </c>
      <c r="H2" s="114" t="s">
        <v>45</v>
      </c>
      <c r="I2" s="114" t="s">
        <v>46</v>
      </c>
      <c r="J2" s="114" t="s">
        <v>47</v>
      </c>
      <c r="K2" s="114" t="s">
        <v>48</v>
      </c>
      <c r="L2" s="114" t="s">
        <v>49</v>
      </c>
      <c r="M2" s="114" t="s">
        <v>50</v>
      </c>
      <c r="N2" s="114" t="s">
        <v>51</v>
      </c>
    </row>
    <row r="3" spans="1:14" x14ac:dyDescent="0.3">
      <c r="A3" t="s">
        <v>236</v>
      </c>
      <c r="B3">
        <v>678742.7</v>
      </c>
      <c r="C3">
        <v>751667.18</v>
      </c>
      <c r="D3">
        <v>803420.84</v>
      </c>
      <c r="E3">
        <v>924736.15</v>
      </c>
      <c r="F3">
        <v>1008488.62</v>
      </c>
      <c r="G3">
        <v>1100282.99</v>
      </c>
      <c r="H3">
        <v>1210584.8400000001</v>
      </c>
      <c r="I3">
        <v>1294769.24</v>
      </c>
      <c r="J3">
        <v>1478491.06</v>
      </c>
      <c r="K3">
        <v>1677865.95</v>
      </c>
      <c r="L3">
        <v>1876063.41</v>
      </c>
      <c r="M3">
        <v>2042886.1</v>
      </c>
      <c r="N3">
        <v>2182279.64</v>
      </c>
    </row>
    <row r="4" spans="1:14" x14ac:dyDescent="0.3">
      <c r="A4" t="s">
        <v>237</v>
      </c>
      <c r="B4">
        <v>5044.4799999999996</v>
      </c>
      <c r="C4">
        <v>5213.82</v>
      </c>
      <c r="D4">
        <v>7300.44</v>
      </c>
      <c r="E4">
        <v>8664.35</v>
      </c>
      <c r="F4">
        <v>7936.69</v>
      </c>
      <c r="G4">
        <v>8538.68</v>
      </c>
      <c r="H4">
        <v>9295.48</v>
      </c>
      <c r="I4">
        <v>8008.86</v>
      </c>
      <c r="J4">
        <v>10077.41</v>
      </c>
      <c r="K4">
        <v>12280.97</v>
      </c>
      <c r="L4">
        <v>13283.76</v>
      </c>
      <c r="M4">
        <v>14107.08</v>
      </c>
      <c r="N4">
        <v>12737.04</v>
      </c>
    </row>
    <row r="5" spans="1:14" x14ac:dyDescent="0.3">
      <c r="A5" t="s">
        <v>238</v>
      </c>
      <c r="B5">
        <v>794.76</v>
      </c>
      <c r="C5">
        <v>754.14</v>
      </c>
      <c r="D5">
        <v>835.67</v>
      </c>
      <c r="E5">
        <v>920.48</v>
      </c>
      <c r="F5">
        <v>948.39</v>
      </c>
      <c r="G5">
        <v>1085.8599999999999</v>
      </c>
      <c r="H5">
        <v>1036.1400000000001</v>
      </c>
      <c r="I5">
        <v>906.3</v>
      </c>
      <c r="J5">
        <v>962.52</v>
      </c>
      <c r="K5">
        <v>1049.72</v>
      </c>
      <c r="L5">
        <v>1082.48</v>
      </c>
      <c r="M5">
        <v>1215.3499999999999</v>
      </c>
      <c r="N5">
        <v>1278.99</v>
      </c>
    </row>
    <row r="6" spans="1:14" x14ac:dyDescent="0.3">
      <c r="A6" t="s">
        <v>239</v>
      </c>
      <c r="B6">
        <v>42.26</v>
      </c>
      <c r="C6">
        <v>45.77</v>
      </c>
      <c r="D6">
        <v>57.45</v>
      </c>
      <c r="E6">
        <v>61.59</v>
      </c>
      <c r="F6">
        <v>62.18</v>
      </c>
      <c r="G6">
        <v>67.510000000000005</v>
      </c>
      <c r="H6">
        <v>78.64</v>
      </c>
      <c r="I6">
        <v>75.81</v>
      </c>
      <c r="J6">
        <v>76.05</v>
      </c>
      <c r="K6">
        <v>89.97</v>
      </c>
      <c r="L6">
        <v>99.58</v>
      </c>
      <c r="M6">
        <v>132.78</v>
      </c>
      <c r="N6">
        <v>139.54</v>
      </c>
    </row>
    <row r="7" spans="1:14" x14ac:dyDescent="0.3">
      <c r="A7" t="s">
        <v>240</v>
      </c>
      <c r="B7">
        <v>369.36</v>
      </c>
      <c r="C7">
        <v>438.25</v>
      </c>
      <c r="D7">
        <v>668.75</v>
      </c>
      <c r="E7">
        <v>601.34</v>
      </c>
      <c r="F7">
        <v>604.52</v>
      </c>
      <c r="G7">
        <v>862.79</v>
      </c>
      <c r="H7">
        <v>884.85</v>
      </c>
      <c r="I7">
        <v>1181.01</v>
      </c>
      <c r="J7">
        <v>1300.3800000000001</v>
      </c>
      <c r="K7">
        <v>954.15</v>
      </c>
      <c r="L7">
        <v>876.11</v>
      </c>
      <c r="M7">
        <v>676.3</v>
      </c>
      <c r="N7">
        <v>761.97</v>
      </c>
    </row>
    <row r="8" spans="1:14" x14ac:dyDescent="0.3">
      <c r="A8" t="s">
        <v>241</v>
      </c>
      <c r="B8">
        <v>395.07</v>
      </c>
      <c r="C8">
        <v>395.16</v>
      </c>
      <c r="D8">
        <v>621.88</v>
      </c>
      <c r="E8">
        <v>856.68</v>
      </c>
      <c r="F8">
        <v>963.58</v>
      </c>
      <c r="G8">
        <v>908.81</v>
      </c>
      <c r="H8">
        <v>876.31</v>
      </c>
      <c r="I8">
        <v>853.4</v>
      </c>
      <c r="J8">
        <v>862.95</v>
      </c>
      <c r="K8">
        <v>891.86</v>
      </c>
      <c r="L8">
        <v>1946.21</v>
      </c>
      <c r="M8">
        <v>2265.34</v>
      </c>
      <c r="N8">
        <v>2617.25</v>
      </c>
    </row>
    <row r="9" spans="1:14" x14ac:dyDescent="0.3">
      <c r="A9" t="s">
        <v>242</v>
      </c>
      <c r="B9">
        <v>711.47</v>
      </c>
      <c r="C9">
        <v>580.65</v>
      </c>
      <c r="D9">
        <v>1926.26</v>
      </c>
      <c r="E9">
        <v>2453.3000000000002</v>
      </c>
      <c r="F9">
        <v>1322.22</v>
      </c>
      <c r="G9">
        <v>1130.18</v>
      </c>
      <c r="H9">
        <v>1624.39</v>
      </c>
      <c r="I9">
        <v>259.82</v>
      </c>
      <c r="J9">
        <v>1852.79</v>
      </c>
      <c r="K9">
        <v>3775.42</v>
      </c>
      <c r="L9">
        <v>3535.06</v>
      </c>
      <c r="M9">
        <v>3732.03</v>
      </c>
      <c r="N9">
        <v>1700.88</v>
      </c>
    </row>
    <row r="10" spans="1:14" x14ac:dyDescent="0.3">
      <c r="A10" t="s">
        <v>53</v>
      </c>
      <c r="B10">
        <v>2731.56</v>
      </c>
      <c r="C10">
        <v>2999.85</v>
      </c>
      <c r="D10">
        <v>3190.43</v>
      </c>
      <c r="E10">
        <v>3770.96</v>
      </c>
      <c r="F10">
        <v>4035.8</v>
      </c>
      <c r="G10">
        <v>4483.53</v>
      </c>
      <c r="H10">
        <v>4795.1499999999996</v>
      </c>
      <c r="I10">
        <v>4732.5200000000004</v>
      </c>
      <c r="J10">
        <v>5022.72</v>
      </c>
      <c r="K10">
        <v>5519.85</v>
      </c>
      <c r="L10">
        <v>5744.32</v>
      </c>
      <c r="M10">
        <v>6085.28</v>
      </c>
      <c r="N10">
        <v>6238.41</v>
      </c>
    </row>
    <row r="11" spans="1:14" x14ac:dyDescent="0.3">
      <c r="A11" t="s">
        <v>243</v>
      </c>
      <c r="B11">
        <v>8464</v>
      </c>
      <c r="C11">
        <v>9593.3799999999992</v>
      </c>
      <c r="D11">
        <v>10648.57</v>
      </c>
      <c r="E11">
        <v>13000.46</v>
      </c>
      <c r="F11">
        <v>15361.52</v>
      </c>
      <c r="G11">
        <v>16536.59</v>
      </c>
      <c r="H11">
        <v>16834.72</v>
      </c>
      <c r="I11">
        <v>17019.759999999998</v>
      </c>
      <c r="J11">
        <v>67395.600000000006</v>
      </c>
      <c r="K11">
        <v>45640.91</v>
      </c>
      <c r="L11">
        <v>45881.599999999999</v>
      </c>
      <c r="M11">
        <v>51775.99</v>
      </c>
      <c r="N11">
        <v>55177.64</v>
      </c>
    </row>
    <row r="12" spans="1:14" x14ac:dyDescent="0.3">
      <c r="A12" t="s">
        <v>244</v>
      </c>
      <c r="B12">
        <v>3596.27</v>
      </c>
      <c r="C12">
        <v>4045.03</v>
      </c>
      <c r="D12">
        <v>4573.0600000000004</v>
      </c>
      <c r="E12">
        <v>5483.64</v>
      </c>
      <c r="F12">
        <v>6019.34</v>
      </c>
      <c r="G12">
        <v>6991.43</v>
      </c>
      <c r="H12">
        <v>6878.02</v>
      </c>
      <c r="I12">
        <v>7138.51</v>
      </c>
      <c r="J12">
        <v>7393.75</v>
      </c>
      <c r="K12">
        <v>8354.75</v>
      </c>
      <c r="L12">
        <v>8546.6</v>
      </c>
      <c r="M12">
        <v>9103.65</v>
      </c>
      <c r="N12">
        <v>9374.8799999999992</v>
      </c>
    </row>
    <row r="13" spans="1:14" x14ac:dyDescent="0.3">
      <c r="A13" t="s">
        <v>245</v>
      </c>
      <c r="B13">
        <v>91.04</v>
      </c>
      <c r="C13">
        <v>102.53</v>
      </c>
      <c r="D13">
        <v>115.51</v>
      </c>
      <c r="E13">
        <v>139.46</v>
      </c>
      <c r="F13">
        <v>152.16999999999999</v>
      </c>
      <c r="G13">
        <v>176.85</v>
      </c>
      <c r="H13">
        <v>173.81</v>
      </c>
      <c r="I13">
        <v>180.59</v>
      </c>
      <c r="J13">
        <v>186.97</v>
      </c>
      <c r="K13">
        <v>211.3</v>
      </c>
      <c r="L13">
        <v>215.84</v>
      </c>
      <c r="M13">
        <v>230.06</v>
      </c>
      <c r="N13">
        <v>236.83</v>
      </c>
    </row>
    <row r="14" spans="1:14" x14ac:dyDescent="0.3">
      <c r="A14" t="s">
        <v>246</v>
      </c>
      <c r="B14">
        <v>2142.06</v>
      </c>
      <c r="C14">
        <v>2496.06</v>
      </c>
      <c r="D14">
        <v>2798.35</v>
      </c>
      <c r="E14">
        <v>3321.58</v>
      </c>
      <c r="F14">
        <v>3941.02</v>
      </c>
      <c r="G14">
        <v>4418.62</v>
      </c>
      <c r="H14">
        <v>4634.16</v>
      </c>
      <c r="I14">
        <v>4611.1400000000003</v>
      </c>
      <c r="J14">
        <v>54452.36</v>
      </c>
      <c r="K14">
        <v>31104.11</v>
      </c>
      <c r="L14">
        <v>31243.360000000001</v>
      </c>
      <c r="M14">
        <v>35935.82</v>
      </c>
      <c r="N14">
        <v>38695.410000000003</v>
      </c>
    </row>
    <row r="15" spans="1:14" x14ac:dyDescent="0.3">
      <c r="A15" t="s">
        <v>247</v>
      </c>
      <c r="B15">
        <v>2634.63</v>
      </c>
      <c r="C15">
        <v>2949.76</v>
      </c>
      <c r="D15">
        <v>3161.65</v>
      </c>
      <c r="E15">
        <v>4055.78</v>
      </c>
      <c r="F15">
        <v>5248.99</v>
      </c>
      <c r="G15">
        <v>0</v>
      </c>
      <c r="H15">
        <v>0</v>
      </c>
      <c r="I15">
        <v>0</v>
      </c>
      <c r="J15">
        <v>0</v>
      </c>
      <c r="K15">
        <v>0</v>
      </c>
    </row>
    <row r="16" spans="1:14" x14ac:dyDescent="0.3">
      <c r="A16" t="s">
        <v>248</v>
      </c>
      <c r="B16" t="s">
        <v>55</v>
      </c>
      <c r="C16" t="s">
        <v>55</v>
      </c>
      <c r="D16">
        <v>0</v>
      </c>
      <c r="E16">
        <v>0</v>
      </c>
      <c r="F16">
        <v>0</v>
      </c>
      <c r="G16">
        <v>4949.6899999999996</v>
      </c>
      <c r="H16">
        <v>5148.7299999999996</v>
      </c>
      <c r="I16">
        <v>5089.5200000000004</v>
      </c>
      <c r="J16">
        <v>5362.52</v>
      </c>
      <c r="K16">
        <v>5970.75</v>
      </c>
      <c r="L16">
        <v>5875.8</v>
      </c>
      <c r="M16">
        <v>6506.46</v>
      </c>
      <c r="N16">
        <v>6870.52</v>
      </c>
    </row>
    <row r="17" spans="1:14" x14ac:dyDescent="0.3">
      <c r="A17" t="s">
        <v>249</v>
      </c>
      <c r="B17">
        <v>112.84</v>
      </c>
      <c r="C17">
        <v>152.24</v>
      </c>
      <c r="D17">
        <v>265.49</v>
      </c>
      <c r="E17">
        <v>109.99</v>
      </c>
      <c r="F17">
        <v>232.14</v>
      </c>
      <c r="G17">
        <v>285.79000000000002</v>
      </c>
      <c r="H17">
        <v>322.52999999999997</v>
      </c>
      <c r="I17">
        <v>586.61</v>
      </c>
      <c r="J17">
        <v>583.77</v>
      </c>
      <c r="K17">
        <v>660.58</v>
      </c>
      <c r="L17">
        <v>1162.1300000000001</v>
      </c>
      <c r="M17">
        <v>1241.49</v>
      </c>
      <c r="N17">
        <v>1131.97</v>
      </c>
    </row>
    <row r="18" spans="1:14" x14ac:dyDescent="0.3">
      <c r="A18" t="s">
        <v>56</v>
      </c>
      <c r="B18">
        <v>0.5</v>
      </c>
      <c r="C18" t="s">
        <v>55</v>
      </c>
      <c r="D18" t="s">
        <v>55</v>
      </c>
      <c r="E18" t="s">
        <v>55</v>
      </c>
      <c r="F18" t="s">
        <v>55</v>
      </c>
      <c r="G18" t="s">
        <v>55</v>
      </c>
      <c r="H18" t="s">
        <v>55</v>
      </c>
      <c r="I18" t="s">
        <v>55</v>
      </c>
      <c r="J18" t="s">
        <v>55</v>
      </c>
      <c r="K18" t="s">
        <v>55</v>
      </c>
      <c r="L18" t="s">
        <v>55</v>
      </c>
      <c r="M18" t="s">
        <v>55</v>
      </c>
      <c r="N18" t="s">
        <v>55</v>
      </c>
    </row>
    <row r="19" spans="1:14" x14ac:dyDescent="0.3">
      <c r="A19" t="s">
        <v>57</v>
      </c>
      <c r="B19">
        <v>112.34</v>
      </c>
      <c r="C19">
        <v>152.24</v>
      </c>
      <c r="D19">
        <v>265.49</v>
      </c>
      <c r="E19">
        <v>109.99</v>
      </c>
      <c r="F19">
        <v>232.14</v>
      </c>
      <c r="G19">
        <v>285.79000000000002</v>
      </c>
      <c r="H19">
        <v>322.52999999999997</v>
      </c>
      <c r="I19">
        <v>586.61</v>
      </c>
      <c r="J19">
        <v>583.77</v>
      </c>
      <c r="K19">
        <v>660.58</v>
      </c>
      <c r="L19">
        <v>1162.1300000000001</v>
      </c>
      <c r="M19">
        <v>1241.49</v>
      </c>
      <c r="N19">
        <v>1131.97</v>
      </c>
    </row>
    <row r="20" spans="1:14" x14ac:dyDescent="0.3">
      <c r="A20" t="s">
        <v>250</v>
      </c>
      <c r="B20">
        <v>395199.59</v>
      </c>
      <c r="C20">
        <v>425098.26</v>
      </c>
      <c r="D20">
        <v>457270.38</v>
      </c>
      <c r="E20">
        <v>504512.46</v>
      </c>
      <c r="F20">
        <v>543707.26</v>
      </c>
      <c r="G20">
        <v>595552.17000000004</v>
      </c>
      <c r="H20">
        <v>655370.53</v>
      </c>
      <c r="I20">
        <v>720983.93</v>
      </c>
      <c r="J20">
        <v>828252.59</v>
      </c>
      <c r="K20">
        <v>958715.21</v>
      </c>
      <c r="L20">
        <v>1102650.18</v>
      </c>
      <c r="M20">
        <v>1185170.92</v>
      </c>
      <c r="N20">
        <v>1315837.98</v>
      </c>
    </row>
    <row r="21" spans="1:14" x14ac:dyDescent="0.3">
      <c r="A21" t="s">
        <v>251</v>
      </c>
      <c r="B21">
        <v>687.48</v>
      </c>
      <c r="C21" t="s">
        <v>54</v>
      </c>
      <c r="D21">
        <v>38.22</v>
      </c>
      <c r="E21">
        <v>593.41999999999996</v>
      </c>
      <c r="F21">
        <v>303.12</v>
      </c>
      <c r="G21">
        <v>21.93</v>
      </c>
      <c r="H21">
        <v>5490.66</v>
      </c>
      <c r="I21">
        <v>9047.36</v>
      </c>
      <c r="J21">
        <v>5241.3100000000004</v>
      </c>
      <c r="K21">
        <v>1025.68</v>
      </c>
      <c r="L21">
        <v>782.3</v>
      </c>
      <c r="M21">
        <v>2660.59</v>
      </c>
      <c r="N21">
        <v>2350</v>
      </c>
    </row>
    <row r="22" spans="1:14" x14ac:dyDescent="0.3">
      <c r="A22" t="s">
        <v>252</v>
      </c>
      <c r="B22">
        <v>394512.11</v>
      </c>
      <c r="C22">
        <v>425098.26</v>
      </c>
      <c r="D22">
        <v>457232.16</v>
      </c>
      <c r="E22">
        <v>503919.04</v>
      </c>
      <c r="F22">
        <v>543404.14</v>
      </c>
      <c r="G22">
        <v>595530.23999999999</v>
      </c>
      <c r="H22">
        <v>649879.87</v>
      </c>
      <c r="I22">
        <v>711936.57</v>
      </c>
      <c r="J22">
        <v>823011.28</v>
      </c>
      <c r="K22">
        <v>957689.53</v>
      </c>
      <c r="L22">
        <v>1101867.8799999999</v>
      </c>
      <c r="M22">
        <v>1182510.33</v>
      </c>
      <c r="N22">
        <v>1313487.98</v>
      </c>
    </row>
    <row r="23" spans="1:14" x14ac:dyDescent="0.3">
      <c r="A23" t="s">
        <v>253</v>
      </c>
      <c r="B23">
        <v>52479.96</v>
      </c>
      <c r="C23">
        <v>58552.91</v>
      </c>
      <c r="D23">
        <v>65051.15</v>
      </c>
      <c r="E23">
        <v>76186.880000000005</v>
      </c>
      <c r="F23">
        <v>85190.03</v>
      </c>
      <c r="G23">
        <v>98577.47</v>
      </c>
      <c r="H23">
        <v>109586.86</v>
      </c>
      <c r="I23">
        <v>105083.76</v>
      </c>
      <c r="J23">
        <v>118244.14</v>
      </c>
      <c r="K23">
        <v>130975.55</v>
      </c>
      <c r="L23">
        <v>141804.85999999999</v>
      </c>
      <c r="M23">
        <v>164840.57999999999</v>
      </c>
      <c r="N23">
        <v>170552.75</v>
      </c>
    </row>
    <row r="24" spans="1:14" x14ac:dyDescent="0.3">
      <c r="A24" t="s">
        <v>254</v>
      </c>
      <c r="B24">
        <v>269.89</v>
      </c>
      <c r="C24">
        <v>313.33</v>
      </c>
      <c r="D24">
        <v>356.81</v>
      </c>
      <c r="E24">
        <v>354.64</v>
      </c>
      <c r="F24">
        <v>589.11</v>
      </c>
      <c r="G24">
        <v>423.16</v>
      </c>
      <c r="H24">
        <v>620.01</v>
      </c>
      <c r="I24">
        <v>665.16</v>
      </c>
      <c r="J24">
        <v>741.88</v>
      </c>
      <c r="K24">
        <v>897.51</v>
      </c>
      <c r="L24">
        <v>1020.99</v>
      </c>
      <c r="M24">
        <v>989.1</v>
      </c>
      <c r="N24">
        <v>927.27</v>
      </c>
    </row>
    <row r="25" spans="1:14" x14ac:dyDescent="0.3">
      <c r="A25" t="s">
        <v>255</v>
      </c>
      <c r="B25">
        <v>2597.86</v>
      </c>
      <c r="C25">
        <v>2887.84</v>
      </c>
      <c r="D25">
        <v>3335</v>
      </c>
      <c r="E25">
        <v>4066.53</v>
      </c>
      <c r="F25">
        <v>4592.66</v>
      </c>
      <c r="G25">
        <v>6721.37</v>
      </c>
      <c r="H25">
        <v>7141.77</v>
      </c>
      <c r="I25">
        <v>7100.07</v>
      </c>
      <c r="J25">
        <v>8043.09</v>
      </c>
      <c r="K25">
        <v>9805.67</v>
      </c>
      <c r="L25">
        <v>10614.95</v>
      </c>
      <c r="M25">
        <v>11610.23</v>
      </c>
      <c r="N25">
        <v>11382.29</v>
      </c>
    </row>
    <row r="26" spans="1:14" x14ac:dyDescent="0.3">
      <c r="A26" t="s">
        <v>58</v>
      </c>
      <c r="B26">
        <v>42994.76</v>
      </c>
      <c r="C26">
        <v>47943.3</v>
      </c>
      <c r="D26">
        <v>53015.02</v>
      </c>
      <c r="E26">
        <v>62732.88</v>
      </c>
      <c r="F26">
        <v>69472.600000000006</v>
      </c>
      <c r="G26">
        <v>80406.350000000006</v>
      </c>
      <c r="H26">
        <v>89866.55</v>
      </c>
      <c r="I26">
        <v>86793.01</v>
      </c>
      <c r="J26">
        <v>98283.92</v>
      </c>
      <c r="K26">
        <v>107186.53</v>
      </c>
      <c r="L26">
        <v>115392.83</v>
      </c>
      <c r="M26">
        <v>136306.43</v>
      </c>
      <c r="N26">
        <v>141879.63</v>
      </c>
    </row>
    <row r="27" spans="1:14" x14ac:dyDescent="0.3">
      <c r="A27" t="s">
        <v>256</v>
      </c>
      <c r="B27">
        <v>0.81</v>
      </c>
      <c r="C27">
        <v>0.5</v>
      </c>
      <c r="D27">
        <v>0.85</v>
      </c>
      <c r="E27">
        <v>1</v>
      </c>
      <c r="F27">
        <v>1.7</v>
      </c>
      <c r="G27">
        <v>0.55000000000000004</v>
      </c>
      <c r="H27">
        <v>1</v>
      </c>
      <c r="I27">
        <v>1</v>
      </c>
      <c r="J27">
        <v>1</v>
      </c>
      <c r="K27">
        <v>1</v>
      </c>
      <c r="L27">
        <v>1.3</v>
      </c>
      <c r="M27">
        <v>5</v>
      </c>
      <c r="N27">
        <v>5</v>
      </c>
    </row>
    <row r="28" spans="1:14" x14ac:dyDescent="0.3">
      <c r="A28" t="s">
        <v>257</v>
      </c>
      <c r="B28">
        <v>96.91</v>
      </c>
      <c r="C28">
        <v>136.94999999999999</v>
      </c>
      <c r="D28">
        <v>121.99</v>
      </c>
      <c r="E28">
        <v>137.72999999999999</v>
      </c>
      <c r="F28">
        <v>176.41</v>
      </c>
      <c r="G28">
        <v>25</v>
      </c>
      <c r="H28">
        <v>50</v>
      </c>
      <c r="I28">
        <v>23.84</v>
      </c>
      <c r="J28">
        <v>0</v>
      </c>
      <c r="K28" t="s">
        <v>55</v>
      </c>
      <c r="L28" t="s">
        <v>55</v>
      </c>
      <c r="M28" t="s">
        <v>55</v>
      </c>
      <c r="N28" t="s">
        <v>55</v>
      </c>
    </row>
    <row r="29" spans="1:14" x14ac:dyDescent="0.3">
      <c r="A29" t="s">
        <v>59</v>
      </c>
      <c r="B29">
        <v>63.55</v>
      </c>
      <c r="C29">
        <v>90.47</v>
      </c>
      <c r="D29">
        <v>65.14</v>
      </c>
      <c r="E29">
        <v>113.75</v>
      </c>
      <c r="F29">
        <v>98.99</v>
      </c>
      <c r="G29">
        <v>81.55</v>
      </c>
      <c r="H29">
        <v>80.73</v>
      </c>
      <c r="I29">
        <v>63.61</v>
      </c>
      <c r="J29">
        <v>46.58</v>
      </c>
      <c r="K29">
        <v>70.08</v>
      </c>
      <c r="L29">
        <v>75.44</v>
      </c>
      <c r="M29">
        <v>85.6</v>
      </c>
      <c r="N29">
        <v>100.72</v>
      </c>
    </row>
    <row r="30" spans="1:14" x14ac:dyDescent="0.3">
      <c r="A30" t="s">
        <v>60</v>
      </c>
      <c r="B30">
        <v>1444.04</v>
      </c>
      <c r="C30">
        <v>1565.43</v>
      </c>
      <c r="D30">
        <v>1595.26</v>
      </c>
      <c r="E30">
        <v>1774.97</v>
      </c>
      <c r="F30">
        <v>1921.56</v>
      </c>
      <c r="G30">
        <v>1910.5</v>
      </c>
      <c r="H30">
        <v>1957.29</v>
      </c>
      <c r="I30">
        <v>1948.11</v>
      </c>
      <c r="J30">
        <v>2013.49</v>
      </c>
      <c r="K30">
        <v>2155.64</v>
      </c>
      <c r="L30">
        <v>2087.9</v>
      </c>
      <c r="M30">
        <v>2296.19</v>
      </c>
      <c r="N30">
        <v>2436.61</v>
      </c>
    </row>
    <row r="31" spans="1:14" x14ac:dyDescent="0.3">
      <c r="A31" t="s">
        <v>258</v>
      </c>
      <c r="B31">
        <v>4450.3</v>
      </c>
      <c r="C31">
        <v>4970.66</v>
      </c>
      <c r="D31">
        <v>5871.09</v>
      </c>
      <c r="E31">
        <v>6261.45</v>
      </c>
      <c r="F31">
        <v>7605.74</v>
      </c>
      <c r="G31">
        <v>8202.14</v>
      </c>
      <c r="H31">
        <v>9021.35</v>
      </c>
      <c r="I31">
        <v>7751.76</v>
      </c>
      <c r="J31">
        <v>8337.7999999999993</v>
      </c>
      <c r="K31">
        <v>9950.86</v>
      </c>
      <c r="L31">
        <v>11586.41</v>
      </c>
      <c r="M31">
        <v>12255.58</v>
      </c>
      <c r="N31">
        <v>12468.27</v>
      </c>
    </row>
    <row r="32" spans="1:14" x14ac:dyDescent="0.3">
      <c r="A32" t="s">
        <v>259</v>
      </c>
      <c r="B32" t="s">
        <v>54</v>
      </c>
      <c r="C32">
        <v>20.84</v>
      </c>
      <c r="D32">
        <v>24.21</v>
      </c>
      <c r="E32">
        <v>27.68</v>
      </c>
      <c r="F32">
        <v>31.03</v>
      </c>
      <c r="G32">
        <v>33.979999999999997</v>
      </c>
      <c r="H32">
        <v>51.51</v>
      </c>
      <c r="I32">
        <v>47.07</v>
      </c>
      <c r="J32">
        <v>53.17</v>
      </c>
      <c r="K32">
        <v>59.36</v>
      </c>
      <c r="L32">
        <v>60.22</v>
      </c>
      <c r="M32">
        <v>73.819999999999993</v>
      </c>
      <c r="N32">
        <v>81.63</v>
      </c>
    </row>
    <row r="33" spans="1:14" x14ac:dyDescent="0.3">
      <c r="A33" t="s">
        <v>61</v>
      </c>
      <c r="B33">
        <v>561.84</v>
      </c>
      <c r="C33">
        <v>623.59</v>
      </c>
      <c r="D33">
        <v>665.78</v>
      </c>
      <c r="E33">
        <v>716.25</v>
      </c>
      <c r="F33">
        <v>700.23</v>
      </c>
      <c r="G33">
        <v>772.87</v>
      </c>
      <c r="H33">
        <v>796.65</v>
      </c>
      <c r="I33">
        <v>690.13</v>
      </c>
      <c r="J33">
        <v>723.21</v>
      </c>
      <c r="K33">
        <v>848.9</v>
      </c>
      <c r="L33">
        <v>964.82</v>
      </c>
      <c r="M33">
        <v>1218.6300000000001</v>
      </c>
      <c r="N33">
        <v>1271.33</v>
      </c>
    </row>
    <row r="34" spans="1:14" x14ac:dyDescent="0.3">
      <c r="A34" t="s">
        <v>260</v>
      </c>
      <c r="B34">
        <v>87551.62</v>
      </c>
      <c r="C34">
        <v>107910.62</v>
      </c>
      <c r="D34">
        <v>111285.34</v>
      </c>
      <c r="E34">
        <v>149236.97</v>
      </c>
      <c r="F34">
        <v>163195.74</v>
      </c>
      <c r="G34">
        <v>176909.73</v>
      </c>
      <c r="H34">
        <v>203877.44</v>
      </c>
      <c r="I34">
        <v>227572.6</v>
      </c>
      <c r="J34">
        <v>218981.69</v>
      </c>
      <c r="K34">
        <v>265359.82</v>
      </c>
      <c r="L34">
        <v>273542.40999999997</v>
      </c>
      <c r="M34">
        <v>320886.63</v>
      </c>
      <c r="N34">
        <v>308118.68</v>
      </c>
    </row>
    <row r="35" spans="1:14" x14ac:dyDescent="0.3">
      <c r="A35" t="s">
        <v>261</v>
      </c>
      <c r="B35">
        <v>74896.19</v>
      </c>
      <c r="C35">
        <v>93610.72</v>
      </c>
      <c r="D35">
        <v>96770.94</v>
      </c>
      <c r="E35">
        <v>131400.85</v>
      </c>
      <c r="F35">
        <v>145745.07</v>
      </c>
      <c r="G35">
        <v>160211.49</v>
      </c>
      <c r="H35">
        <v>183954.61</v>
      </c>
      <c r="I35">
        <v>208473.04</v>
      </c>
      <c r="J35">
        <v>198946.1</v>
      </c>
      <c r="K35">
        <v>241599.29</v>
      </c>
      <c r="L35">
        <v>238328.29</v>
      </c>
      <c r="M35">
        <v>276102.90000000002</v>
      </c>
      <c r="N35">
        <v>277618.32</v>
      </c>
    </row>
    <row r="36" spans="1:14" x14ac:dyDescent="0.3">
      <c r="A36" t="s">
        <v>62</v>
      </c>
      <c r="B36">
        <v>12655.43</v>
      </c>
      <c r="C36">
        <v>14299.9</v>
      </c>
      <c r="D36">
        <v>14514.4</v>
      </c>
      <c r="E36">
        <v>17836.12</v>
      </c>
      <c r="F36">
        <v>17450.669999999998</v>
      </c>
      <c r="G36">
        <v>16698.240000000002</v>
      </c>
      <c r="H36">
        <v>19922.830000000002</v>
      </c>
      <c r="I36">
        <v>19099.560000000001</v>
      </c>
      <c r="J36">
        <v>20035.59</v>
      </c>
      <c r="K36">
        <v>23760.53</v>
      </c>
      <c r="L36">
        <v>35214.120000000003</v>
      </c>
      <c r="M36">
        <v>44783.73</v>
      </c>
      <c r="N36">
        <v>30500.36</v>
      </c>
    </row>
    <row r="37" spans="1:14" x14ac:dyDescent="0.3">
      <c r="A37" t="s">
        <v>262</v>
      </c>
      <c r="B37">
        <v>129890.21</v>
      </c>
      <c r="C37">
        <v>145145.95000000001</v>
      </c>
      <c r="D37">
        <v>151599.47</v>
      </c>
      <c r="E37">
        <v>173025.04</v>
      </c>
      <c r="F37">
        <v>192865.24</v>
      </c>
      <c r="G37">
        <v>203882.56</v>
      </c>
      <c r="H37">
        <v>215297.28</v>
      </c>
      <c r="I37">
        <v>215513.72</v>
      </c>
      <c r="J37">
        <v>234955.86</v>
      </c>
      <c r="K37">
        <v>264232.90999999997</v>
      </c>
      <c r="L37">
        <v>297738.46999999997</v>
      </c>
      <c r="M37">
        <v>304863.40999999997</v>
      </c>
      <c r="N37">
        <v>318723.58</v>
      </c>
    </row>
    <row r="38" spans="1:14" x14ac:dyDescent="0.3">
      <c r="A38" t="s">
        <v>263</v>
      </c>
      <c r="B38">
        <v>87750.54</v>
      </c>
      <c r="C38">
        <v>99321.39</v>
      </c>
      <c r="D38">
        <v>105994.58</v>
      </c>
      <c r="E38">
        <v>120374.48</v>
      </c>
      <c r="F38">
        <v>135362.35999999999</v>
      </c>
      <c r="G38">
        <v>141829.60999999999</v>
      </c>
      <c r="H38">
        <v>146821.92000000001</v>
      </c>
      <c r="I38">
        <v>145181.03</v>
      </c>
      <c r="J38">
        <v>161728.26999999999</v>
      </c>
      <c r="K38">
        <v>175666.05</v>
      </c>
      <c r="L38">
        <v>197020.12</v>
      </c>
      <c r="M38">
        <v>204628.97</v>
      </c>
      <c r="N38">
        <v>212030.78</v>
      </c>
    </row>
    <row r="39" spans="1:14" x14ac:dyDescent="0.3">
      <c r="A39" t="s">
        <v>264</v>
      </c>
      <c r="B39">
        <v>13472.26</v>
      </c>
      <c r="C39">
        <v>14352</v>
      </c>
      <c r="D39">
        <v>15320.81</v>
      </c>
      <c r="E39">
        <v>17469.27</v>
      </c>
      <c r="F39">
        <v>19344.87</v>
      </c>
      <c r="G39">
        <v>21738.880000000001</v>
      </c>
      <c r="H39">
        <v>23087.69</v>
      </c>
      <c r="I39">
        <v>24710.34</v>
      </c>
      <c r="J39">
        <v>24426.52</v>
      </c>
      <c r="K39">
        <v>31343.599999999999</v>
      </c>
      <c r="L39">
        <v>35147.800000000003</v>
      </c>
      <c r="M39">
        <v>36557.31</v>
      </c>
      <c r="N39">
        <v>39019.800000000003</v>
      </c>
    </row>
    <row r="40" spans="1:14" x14ac:dyDescent="0.3">
      <c r="A40" t="s">
        <v>265</v>
      </c>
      <c r="B40">
        <v>20160.27</v>
      </c>
      <c r="C40">
        <v>22685.3</v>
      </c>
      <c r="D40">
        <v>21848.9</v>
      </c>
      <c r="E40">
        <v>25228.14</v>
      </c>
      <c r="F40">
        <v>28418.799999999999</v>
      </c>
      <c r="G40">
        <v>29370.54</v>
      </c>
      <c r="H40">
        <v>31528.49</v>
      </c>
      <c r="I40">
        <v>34615.96</v>
      </c>
      <c r="J40">
        <v>35687.93</v>
      </c>
      <c r="K40">
        <v>47455.55</v>
      </c>
      <c r="L40">
        <v>54742.33</v>
      </c>
      <c r="M40">
        <v>51876.77</v>
      </c>
      <c r="N40">
        <v>55000</v>
      </c>
    </row>
    <row r="41" spans="1:14" x14ac:dyDescent="0.3">
      <c r="A41" t="s">
        <v>266</v>
      </c>
      <c r="B41">
        <v>2810.82</v>
      </c>
      <c r="C41">
        <v>2550.1799999999998</v>
      </c>
      <c r="D41">
        <v>2251.2800000000002</v>
      </c>
      <c r="E41">
        <v>2989.46</v>
      </c>
      <c r="F41">
        <v>1705.42</v>
      </c>
      <c r="G41">
        <v>2512.09</v>
      </c>
      <c r="H41">
        <v>4773.04</v>
      </c>
      <c r="I41">
        <v>2655.62</v>
      </c>
      <c r="J41">
        <v>4706.92</v>
      </c>
      <c r="K41">
        <v>359.92</v>
      </c>
      <c r="L41">
        <v>400.74</v>
      </c>
      <c r="M41">
        <v>470.35</v>
      </c>
      <c r="N41">
        <v>480</v>
      </c>
    </row>
    <row r="42" spans="1:14" x14ac:dyDescent="0.3">
      <c r="A42" t="s">
        <v>267</v>
      </c>
      <c r="B42">
        <v>5696.32</v>
      </c>
      <c r="C42">
        <v>6237.08</v>
      </c>
      <c r="D42">
        <v>6183.9</v>
      </c>
      <c r="E42">
        <v>6963.69</v>
      </c>
      <c r="F42">
        <v>8033.79</v>
      </c>
      <c r="G42">
        <v>8431.44</v>
      </c>
      <c r="H42">
        <v>9086.14</v>
      </c>
      <c r="I42">
        <v>8350.77</v>
      </c>
      <c r="J42">
        <v>8406.2199999999993</v>
      </c>
      <c r="K42">
        <v>9407.7900000000009</v>
      </c>
      <c r="L42">
        <v>10427.48</v>
      </c>
      <c r="M42">
        <v>11330.01</v>
      </c>
      <c r="N42">
        <v>12193</v>
      </c>
    </row>
    <row r="44" spans="1:14" x14ac:dyDescent="0.3">
      <c r="A44" t="s">
        <v>268</v>
      </c>
      <c r="B44">
        <v>131471.07</v>
      </c>
      <c r="C44">
        <v>56799.96</v>
      </c>
      <c r="D44">
        <v>85418.25</v>
      </c>
      <c r="E44">
        <v>93716.98</v>
      </c>
      <c r="F44">
        <v>97585.83</v>
      </c>
      <c r="G44">
        <v>103676.9</v>
      </c>
      <c r="H44">
        <v>131597.12</v>
      </c>
      <c r="I44">
        <v>166358.59</v>
      </c>
      <c r="J44">
        <v>260826.87</v>
      </c>
      <c r="K44">
        <v>207992.06</v>
      </c>
      <c r="L44">
        <v>246976.6</v>
      </c>
      <c r="M44">
        <v>188817.46</v>
      </c>
      <c r="N44">
        <v>198580.18</v>
      </c>
    </row>
    <row r="45" spans="1:14" x14ac:dyDescent="0.3">
      <c r="A45" t="s">
        <v>269</v>
      </c>
      <c r="B45">
        <v>55842.94</v>
      </c>
      <c r="C45">
        <v>17376.16</v>
      </c>
      <c r="D45">
        <v>18659.34</v>
      </c>
      <c r="E45">
        <v>20821.25</v>
      </c>
      <c r="F45">
        <v>24982.44</v>
      </c>
      <c r="G45">
        <v>21635.84</v>
      </c>
      <c r="H45">
        <v>27749.65</v>
      </c>
      <c r="I45">
        <v>27742.11</v>
      </c>
      <c r="J45">
        <v>29226.01</v>
      </c>
      <c r="K45">
        <v>33460.32</v>
      </c>
      <c r="L45">
        <v>55215.06</v>
      </c>
      <c r="M45">
        <v>39031.96</v>
      </c>
      <c r="N45">
        <v>40035.24</v>
      </c>
    </row>
    <row r="46" spans="1:14" x14ac:dyDescent="0.3">
      <c r="A46" t="s">
        <v>270</v>
      </c>
      <c r="B46">
        <v>8626.94</v>
      </c>
      <c r="C46">
        <v>9047.2099999999991</v>
      </c>
      <c r="D46">
        <v>9772.93</v>
      </c>
      <c r="E46">
        <v>11676.66</v>
      </c>
      <c r="F46">
        <v>15779.99</v>
      </c>
      <c r="G46">
        <v>15744.87</v>
      </c>
      <c r="H46">
        <v>14911.5</v>
      </c>
      <c r="I46">
        <v>14605.75</v>
      </c>
      <c r="J46">
        <v>15617.05</v>
      </c>
      <c r="K46">
        <v>18279.11</v>
      </c>
      <c r="L46">
        <v>26044.2</v>
      </c>
      <c r="M46">
        <v>19465.61</v>
      </c>
      <c r="N46">
        <v>21663.68</v>
      </c>
    </row>
    <row r="47" spans="1:14" x14ac:dyDescent="0.3">
      <c r="A47" t="s">
        <v>271</v>
      </c>
      <c r="B47">
        <v>931.89</v>
      </c>
      <c r="C47">
        <v>941.6</v>
      </c>
      <c r="D47">
        <v>1297.8599999999999</v>
      </c>
      <c r="E47">
        <v>1533.08</v>
      </c>
      <c r="F47">
        <v>1651.36</v>
      </c>
      <c r="G47">
        <v>1694.51</v>
      </c>
      <c r="H47">
        <v>2567.4499999999998</v>
      </c>
      <c r="I47">
        <v>1719.23</v>
      </c>
      <c r="J47">
        <v>2217.54</v>
      </c>
      <c r="K47">
        <v>2508.89</v>
      </c>
      <c r="L47">
        <v>2942.63</v>
      </c>
      <c r="M47">
        <v>2767.9</v>
      </c>
      <c r="N47">
        <v>3403.17</v>
      </c>
    </row>
    <row r="48" spans="1:14" x14ac:dyDescent="0.3">
      <c r="A48" t="s">
        <v>272</v>
      </c>
      <c r="B48">
        <v>1930.01</v>
      </c>
      <c r="C48">
        <v>1987.39</v>
      </c>
      <c r="D48">
        <v>1883.99</v>
      </c>
      <c r="E48">
        <v>2231.96</v>
      </c>
      <c r="F48">
        <v>2438.64</v>
      </c>
      <c r="G48">
        <v>2467.46</v>
      </c>
      <c r="H48">
        <v>2396.52</v>
      </c>
      <c r="I48">
        <v>2082.61</v>
      </c>
      <c r="J48">
        <v>2444.6</v>
      </c>
      <c r="K48">
        <v>3160.38</v>
      </c>
      <c r="L48">
        <v>3305.22</v>
      </c>
      <c r="M48">
        <v>2984.26</v>
      </c>
      <c r="N48">
        <v>3076.76</v>
      </c>
    </row>
    <row r="49" spans="1:14" x14ac:dyDescent="0.3">
      <c r="A49" t="s">
        <v>66</v>
      </c>
      <c r="B49">
        <v>10784.61</v>
      </c>
      <c r="C49">
        <v>9683.99</v>
      </c>
      <c r="D49">
        <v>11629.34</v>
      </c>
      <c r="E49">
        <v>14963.74</v>
      </c>
      <c r="F49">
        <v>17429.04</v>
      </c>
      <c r="G49">
        <v>20824.41</v>
      </c>
      <c r="H49">
        <v>27296.84</v>
      </c>
      <c r="I49">
        <v>31498.06</v>
      </c>
      <c r="J49">
        <v>68526.759999999995</v>
      </c>
      <c r="K49">
        <v>35657.15</v>
      </c>
      <c r="L49">
        <v>37231.56</v>
      </c>
      <c r="M49">
        <v>41072.839999999997</v>
      </c>
      <c r="N49">
        <v>45964.87</v>
      </c>
    </row>
    <row r="50" spans="1:14" x14ac:dyDescent="0.3">
      <c r="A50" t="s">
        <v>67</v>
      </c>
      <c r="B50">
        <v>11070.39</v>
      </c>
      <c r="C50">
        <v>884.54</v>
      </c>
      <c r="D50">
        <v>861.95</v>
      </c>
      <c r="E50">
        <v>1186.24</v>
      </c>
      <c r="F50">
        <v>1130.6500000000001</v>
      </c>
      <c r="G50">
        <v>586.97</v>
      </c>
      <c r="H50">
        <v>1176.77</v>
      </c>
      <c r="I50">
        <v>1257.9100000000001</v>
      </c>
      <c r="J50">
        <v>384.42</v>
      </c>
      <c r="K50">
        <v>1057.51</v>
      </c>
      <c r="L50">
        <v>1047.0899999999999</v>
      </c>
      <c r="M50">
        <v>1426.46</v>
      </c>
      <c r="N50">
        <v>1536.97</v>
      </c>
    </row>
    <row r="51" spans="1:14" x14ac:dyDescent="0.3">
      <c r="A51" t="s">
        <v>273</v>
      </c>
      <c r="B51">
        <v>11937.22</v>
      </c>
      <c r="C51">
        <v>143.62</v>
      </c>
      <c r="D51">
        <v>2667.35</v>
      </c>
      <c r="E51">
        <v>10037.379999999999</v>
      </c>
      <c r="F51">
        <v>3443.94</v>
      </c>
      <c r="G51">
        <v>141.47999999999999</v>
      </c>
      <c r="H51">
        <v>899.88</v>
      </c>
      <c r="I51">
        <v>1146.02</v>
      </c>
      <c r="J51">
        <v>37567.629999999997</v>
      </c>
      <c r="K51">
        <v>55785.45</v>
      </c>
      <c r="L51">
        <v>71061.78</v>
      </c>
      <c r="M51">
        <v>21260.01</v>
      </c>
      <c r="N51">
        <v>2630.94</v>
      </c>
    </row>
    <row r="52" spans="1:14" x14ac:dyDescent="0.3">
      <c r="A52" t="s">
        <v>68</v>
      </c>
      <c r="B52">
        <v>13801.65</v>
      </c>
      <c r="C52">
        <v>762.94</v>
      </c>
      <c r="D52">
        <v>1075.9100000000001</v>
      </c>
      <c r="E52">
        <v>1458.36</v>
      </c>
      <c r="F52">
        <v>2589.11</v>
      </c>
      <c r="G52">
        <v>3561.52</v>
      </c>
      <c r="H52">
        <v>6922.99</v>
      </c>
      <c r="I52">
        <v>14474.24</v>
      </c>
      <c r="J52">
        <v>55114.9</v>
      </c>
      <c r="K52">
        <v>18174.02</v>
      </c>
      <c r="L52">
        <v>6853.16</v>
      </c>
      <c r="M52">
        <v>8689.8799999999992</v>
      </c>
      <c r="N52">
        <v>11075.71</v>
      </c>
    </row>
    <row r="53" spans="1:14" x14ac:dyDescent="0.3">
      <c r="A53" t="s">
        <v>69</v>
      </c>
      <c r="B53">
        <v>431.22</v>
      </c>
      <c r="C53">
        <v>402.39</v>
      </c>
      <c r="D53">
        <v>278.10000000000002</v>
      </c>
      <c r="E53">
        <v>958.72</v>
      </c>
      <c r="F53">
        <v>757.38</v>
      </c>
      <c r="G53">
        <v>786.32</v>
      </c>
      <c r="H53">
        <v>865</v>
      </c>
      <c r="I53">
        <v>545.87</v>
      </c>
      <c r="J53">
        <v>578.75</v>
      </c>
      <c r="K53">
        <v>798.99</v>
      </c>
      <c r="L53">
        <v>983.73</v>
      </c>
      <c r="M53">
        <v>2172.0700000000002</v>
      </c>
      <c r="N53">
        <v>1972.46</v>
      </c>
    </row>
    <row r="54" spans="1:14" x14ac:dyDescent="0.3">
      <c r="A54" t="s">
        <v>70</v>
      </c>
      <c r="B54">
        <v>585.5</v>
      </c>
      <c r="C54">
        <v>599.62</v>
      </c>
      <c r="D54">
        <v>649.13</v>
      </c>
      <c r="E54">
        <v>733.08</v>
      </c>
      <c r="F54">
        <v>669.72</v>
      </c>
      <c r="G54">
        <v>815.8</v>
      </c>
      <c r="H54">
        <v>818.86</v>
      </c>
      <c r="I54">
        <v>621.92999999999995</v>
      </c>
      <c r="J54">
        <v>818.13</v>
      </c>
      <c r="K54">
        <v>1001.15</v>
      </c>
      <c r="L54">
        <v>1228</v>
      </c>
      <c r="M54">
        <v>1505.45</v>
      </c>
      <c r="N54">
        <v>1210.76</v>
      </c>
    </row>
    <row r="55" spans="1:14" x14ac:dyDescent="0.3">
      <c r="A55" t="s">
        <v>274</v>
      </c>
      <c r="B55">
        <v>2140</v>
      </c>
      <c r="C55">
        <v>2423.39</v>
      </c>
      <c r="D55">
        <v>13900.29</v>
      </c>
      <c r="E55">
        <v>2812.06</v>
      </c>
      <c r="F55">
        <v>2737.86</v>
      </c>
      <c r="G55">
        <v>3100.14</v>
      </c>
      <c r="H55">
        <v>3123.6</v>
      </c>
      <c r="I55">
        <v>2670.54</v>
      </c>
      <c r="J55">
        <v>2789.04</v>
      </c>
      <c r="K55">
        <v>2869.46</v>
      </c>
      <c r="L55">
        <v>2897.74</v>
      </c>
      <c r="M55">
        <v>2808.81</v>
      </c>
      <c r="N55">
        <v>2829.7</v>
      </c>
    </row>
    <row r="56" spans="1:14" x14ac:dyDescent="0.3">
      <c r="A56" t="s">
        <v>275</v>
      </c>
      <c r="B56">
        <v>591.69000000000005</v>
      </c>
      <c r="C56">
        <v>1551.18</v>
      </c>
      <c r="D56">
        <v>3357.62</v>
      </c>
      <c r="E56">
        <v>2564.2600000000002</v>
      </c>
      <c r="F56">
        <v>3378.42</v>
      </c>
      <c r="G56">
        <v>2745.87</v>
      </c>
      <c r="H56">
        <v>3501.88</v>
      </c>
      <c r="I56">
        <v>4707.09</v>
      </c>
      <c r="J56">
        <v>4606.82</v>
      </c>
      <c r="K56">
        <v>3595.59</v>
      </c>
      <c r="L56">
        <v>3534.87</v>
      </c>
      <c r="M56">
        <v>7090.94</v>
      </c>
      <c r="N56">
        <v>9928.06</v>
      </c>
    </row>
    <row r="57" spans="1:14" x14ac:dyDescent="0.3">
      <c r="A57" t="s">
        <v>276</v>
      </c>
      <c r="B57">
        <v>3922.72</v>
      </c>
      <c r="C57">
        <v>3194.73</v>
      </c>
      <c r="D57">
        <v>5405.65</v>
      </c>
      <c r="E57">
        <v>6019.52</v>
      </c>
      <c r="F57">
        <v>7908.08</v>
      </c>
      <c r="G57">
        <v>11535.13</v>
      </c>
      <c r="H57">
        <v>11694.4</v>
      </c>
      <c r="I57">
        <v>14493.81</v>
      </c>
      <c r="J57">
        <v>25503.34</v>
      </c>
      <c r="K57">
        <v>15425.59</v>
      </c>
      <c r="L57">
        <v>13186.33</v>
      </c>
      <c r="M57">
        <v>18479.59</v>
      </c>
      <c r="N57">
        <v>32495.94</v>
      </c>
    </row>
    <row r="58" spans="1:14" x14ac:dyDescent="0.3">
      <c r="A58" t="s">
        <v>72</v>
      </c>
      <c r="B58">
        <v>2999.18</v>
      </c>
      <c r="C58">
        <v>3337.14</v>
      </c>
      <c r="D58">
        <v>3284.68</v>
      </c>
      <c r="E58">
        <v>3361.41</v>
      </c>
      <c r="F58">
        <v>6325.41</v>
      </c>
      <c r="G58">
        <v>6246.3</v>
      </c>
      <c r="H58">
        <v>6741.06</v>
      </c>
      <c r="I58">
        <v>38533.18</v>
      </c>
      <c r="J58">
        <v>5232.4399999999996</v>
      </c>
      <c r="K58">
        <v>5517.09</v>
      </c>
      <c r="L58">
        <v>4121.59</v>
      </c>
      <c r="M58">
        <v>4709.09</v>
      </c>
      <c r="N58">
        <v>4868.46</v>
      </c>
    </row>
    <row r="59" spans="1:14" x14ac:dyDescent="0.3">
      <c r="A59" t="s">
        <v>277</v>
      </c>
      <c r="B59">
        <v>99.39</v>
      </c>
      <c r="C59">
        <v>20.21</v>
      </c>
      <c r="D59">
        <v>2.79</v>
      </c>
      <c r="E59">
        <v>12.99</v>
      </c>
      <c r="F59">
        <v>12.12</v>
      </c>
      <c r="G59">
        <v>13.15</v>
      </c>
      <c r="H59">
        <v>13.15</v>
      </c>
      <c r="I59">
        <v>12.09</v>
      </c>
      <c r="J59">
        <v>13.03</v>
      </c>
      <c r="K59">
        <v>15.83</v>
      </c>
      <c r="L59">
        <v>15.14</v>
      </c>
      <c r="M59">
        <v>0</v>
      </c>
      <c r="N59">
        <v>0</v>
      </c>
    </row>
    <row r="60" spans="1:14" x14ac:dyDescent="0.3">
      <c r="A60" t="s">
        <v>278</v>
      </c>
      <c r="B60">
        <v>5294.65</v>
      </c>
      <c r="C60">
        <v>3918.59</v>
      </c>
      <c r="D60">
        <v>10115.42</v>
      </c>
      <c r="E60">
        <v>12182.5</v>
      </c>
      <c r="F60">
        <v>5580.44</v>
      </c>
      <c r="G60">
        <v>10943.05</v>
      </c>
      <c r="H60">
        <v>19923.7</v>
      </c>
      <c r="I60">
        <v>9352.99</v>
      </c>
      <c r="J60">
        <v>9183.82</v>
      </c>
      <c r="K60">
        <v>9554.31</v>
      </c>
      <c r="L60">
        <v>10623.62</v>
      </c>
      <c r="M60">
        <v>13493.7</v>
      </c>
      <c r="N60">
        <v>13916.2</v>
      </c>
    </row>
    <row r="61" spans="1:14" x14ac:dyDescent="0.3">
      <c r="A61" t="s">
        <v>279</v>
      </c>
      <c r="B61">
        <v>80.36</v>
      </c>
      <c r="C61">
        <v>82.37</v>
      </c>
      <c r="D61">
        <v>72.98</v>
      </c>
      <c r="E61">
        <v>611.83000000000004</v>
      </c>
      <c r="F61">
        <v>114.31</v>
      </c>
      <c r="G61">
        <v>81.99</v>
      </c>
      <c r="H61">
        <v>20.79</v>
      </c>
      <c r="I61" t="s">
        <v>54</v>
      </c>
      <c r="J61">
        <v>-1.91</v>
      </c>
      <c r="K61">
        <v>0</v>
      </c>
      <c r="L61">
        <v>4995.6499999999996</v>
      </c>
      <c r="M61">
        <v>0.01</v>
      </c>
      <c r="N61">
        <v>0.01</v>
      </c>
    </row>
    <row r="62" spans="1:14" x14ac:dyDescent="0.3">
      <c r="A62" t="s">
        <v>280</v>
      </c>
      <c r="B62">
        <v>400.71</v>
      </c>
      <c r="C62">
        <v>442.89</v>
      </c>
      <c r="D62">
        <v>502.92</v>
      </c>
      <c r="E62">
        <v>551.94000000000005</v>
      </c>
      <c r="F62">
        <v>656.92</v>
      </c>
      <c r="G62">
        <v>752.09</v>
      </c>
      <c r="H62">
        <v>973.08</v>
      </c>
      <c r="I62">
        <v>895.16</v>
      </c>
      <c r="J62">
        <v>1004.5</v>
      </c>
      <c r="K62">
        <v>1131.22</v>
      </c>
      <c r="L62">
        <v>1689.23</v>
      </c>
      <c r="M62">
        <v>1858.88</v>
      </c>
      <c r="N62">
        <v>1971.25</v>
      </c>
    </row>
    <row r="64" spans="1:14" x14ac:dyDescent="0.3">
      <c r="A64" t="s">
        <v>281</v>
      </c>
      <c r="B64">
        <v>558551.98</v>
      </c>
      <c r="C64">
        <v>542637.16</v>
      </c>
      <c r="D64">
        <v>565724.43000000005</v>
      </c>
      <c r="E64">
        <v>614201.15</v>
      </c>
      <c r="F64">
        <v>642864.17000000004</v>
      </c>
      <c r="G64">
        <v>664814.39</v>
      </c>
      <c r="H64">
        <v>731344.47</v>
      </c>
      <c r="I64">
        <v>1257012.7</v>
      </c>
      <c r="J64">
        <v>1091813.08</v>
      </c>
      <c r="K64">
        <v>1226502.23</v>
      </c>
      <c r="L64">
        <v>1097936.77</v>
      </c>
      <c r="M64">
        <v>1244137.71</v>
      </c>
      <c r="N64">
        <v>1235614.8500000001</v>
      </c>
    </row>
    <row r="65" spans="1:14" x14ac:dyDescent="0.3">
      <c r="A65" t="s">
        <v>282</v>
      </c>
      <c r="B65">
        <v>158961.69</v>
      </c>
      <c r="C65">
        <v>169711.92</v>
      </c>
      <c r="D65">
        <v>201982.21</v>
      </c>
      <c r="E65">
        <v>164899.68</v>
      </c>
      <c r="F65">
        <v>165020.01999999999</v>
      </c>
      <c r="G65">
        <v>176677.96</v>
      </c>
      <c r="H65">
        <v>235574.65</v>
      </c>
      <c r="I65">
        <v>700537.43</v>
      </c>
      <c r="J65">
        <v>475926.47</v>
      </c>
      <c r="K65">
        <v>468289.97</v>
      </c>
      <c r="L65">
        <v>393122.53</v>
      </c>
      <c r="M65">
        <v>376903.41</v>
      </c>
      <c r="N65">
        <v>371912.35</v>
      </c>
    </row>
    <row r="66" spans="1:14" x14ac:dyDescent="0.3">
      <c r="A66" t="s">
        <v>76</v>
      </c>
      <c r="B66">
        <v>51087.65</v>
      </c>
      <c r="C66">
        <v>36628.47</v>
      </c>
      <c r="D66">
        <v>39406.379999999997</v>
      </c>
      <c r="E66">
        <v>27079.279999999999</v>
      </c>
      <c r="F66">
        <v>34093.11</v>
      </c>
      <c r="G66">
        <v>46178.39</v>
      </c>
      <c r="H66">
        <v>92724.92</v>
      </c>
      <c r="I66">
        <v>116860.69</v>
      </c>
      <c r="J66">
        <v>138143.48000000001</v>
      </c>
      <c r="K66">
        <v>160290.39000000001</v>
      </c>
      <c r="L66">
        <v>147331.06</v>
      </c>
      <c r="M66">
        <v>138980.98000000001</v>
      </c>
      <c r="N66">
        <v>124341.08</v>
      </c>
    </row>
    <row r="67" spans="1:14" x14ac:dyDescent="0.3">
      <c r="A67" t="s">
        <v>77</v>
      </c>
      <c r="B67">
        <v>18.59</v>
      </c>
      <c r="C67">
        <v>18.77</v>
      </c>
      <c r="D67">
        <v>18.649999999999999</v>
      </c>
      <c r="E67">
        <v>20.45</v>
      </c>
      <c r="F67">
        <v>23.83</v>
      </c>
      <c r="G67">
        <v>25.4</v>
      </c>
      <c r="H67">
        <v>26.23</v>
      </c>
      <c r="I67">
        <v>26.25</v>
      </c>
      <c r="J67">
        <v>26.17</v>
      </c>
      <c r="K67">
        <v>33.56</v>
      </c>
      <c r="L67">
        <v>32.92</v>
      </c>
      <c r="M67">
        <v>35.75</v>
      </c>
      <c r="N67">
        <v>38.25</v>
      </c>
    </row>
    <row r="68" spans="1:14" x14ac:dyDescent="0.3">
      <c r="A68" t="s">
        <v>78</v>
      </c>
      <c r="B68">
        <v>519.99</v>
      </c>
      <c r="C68">
        <v>433.07</v>
      </c>
      <c r="D68">
        <v>307.95</v>
      </c>
      <c r="E68">
        <v>284.61</v>
      </c>
      <c r="F68">
        <v>417.93</v>
      </c>
      <c r="G68">
        <v>1003.01</v>
      </c>
      <c r="H68">
        <v>1339.81</v>
      </c>
      <c r="I68">
        <v>1566.91</v>
      </c>
      <c r="J68">
        <v>1804.34</v>
      </c>
      <c r="K68">
        <v>1692.81</v>
      </c>
      <c r="L68">
        <v>1982.01</v>
      </c>
      <c r="M68">
        <v>2210.33</v>
      </c>
      <c r="N68">
        <v>2287.17</v>
      </c>
    </row>
    <row r="69" spans="1:14" x14ac:dyDescent="0.3">
      <c r="A69" t="s">
        <v>79</v>
      </c>
      <c r="B69">
        <v>829.39</v>
      </c>
      <c r="C69">
        <v>718.04</v>
      </c>
      <c r="D69">
        <v>862.4</v>
      </c>
      <c r="E69">
        <v>1048.82</v>
      </c>
      <c r="F69">
        <v>1119.06</v>
      </c>
      <c r="G69">
        <v>1247.32</v>
      </c>
      <c r="H69">
        <v>986.68</v>
      </c>
      <c r="I69">
        <v>587.39</v>
      </c>
      <c r="J69">
        <v>754.87</v>
      </c>
      <c r="K69">
        <v>695.15</v>
      </c>
      <c r="L69">
        <v>729.68</v>
      </c>
      <c r="M69">
        <v>639.9</v>
      </c>
      <c r="N69">
        <v>912.75</v>
      </c>
    </row>
    <row r="70" spans="1:14" x14ac:dyDescent="0.3">
      <c r="A70" t="s">
        <v>80</v>
      </c>
      <c r="B70">
        <v>210.96</v>
      </c>
      <c r="C70">
        <v>244.83</v>
      </c>
      <c r="D70">
        <v>252.79</v>
      </c>
      <c r="E70">
        <v>117.54</v>
      </c>
      <c r="F70">
        <v>99.61</v>
      </c>
      <c r="G70">
        <v>202.38</v>
      </c>
      <c r="H70">
        <v>211.13</v>
      </c>
      <c r="I70">
        <v>263.57</v>
      </c>
      <c r="J70">
        <v>346.08</v>
      </c>
      <c r="K70">
        <v>361.17</v>
      </c>
      <c r="L70">
        <v>272.75</v>
      </c>
      <c r="M70">
        <v>517.22</v>
      </c>
      <c r="N70">
        <v>712.25</v>
      </c>
    </row>
    <row r="71" spans="1:14" x14ac:dyDescent="0.3">
      <c r="A71" t="s">
        <v>81</v>
      </c>
      <c r="B71">
        <v>643.54999999999995</v>
      </c>
      <c r="C71">
        <v>424.26</v>
      </c>
      <c r="D71">
        <v>394.18</v>
      </c>
      <c r="E71">
        <v>403.85</v>
      </c>
      <c r="F71">
        <v>1085.23</v>
      </c>
      <c r="G71">
        <v>668.17</v>
      </c>
      <c r="H71">
        <v>680.19</v>
      </c>
      <c r="I71">
        <v>475.45</v>
      </c>
      <c r="J71">
        <v>635.41</v>
      </c>
      <c r="K71">
        <v>687.7</v>
      </c>
      <c r="L71">
        <v>864.21</v>
      </c>
      <c r="M71">
        <v>788.96</v>
      </c>
      <c r="N71">
        <v>839.97</v>
      </c>
    </row>
    <row r="72" spans="1:14" x14ac:dyDescent="0.3">
      <c r="A72" t="s">
        <v>283</v>
      </c>
      <c r="B72">
        <v>610.52</v>
      </c>
      <c r="C72">
        <v>628.04</v>
      </c>
      <c r="D72">
        <v>626.88</v>
      </c>
      <c r="E72">
        <v>524.73</v>
      </c>
      <c r="F72">
        <v>646.53</v>
      </c>
      <c r="G72">
        <v>599.84</v>
      </c>
      <c r="H72">
        <v>703.28</v>
      </c>
      <c r="I72">
        <v>-708.43</v>
      </c>
      <c r="J72">
        <v>698.67</v>
      </c>
      <c r="K72">
        <v>763.32</v>
      </c>
      <c r="L72">
        <v>709.95</v>
      </c>
      <c r="M72">
        <v>845.98</v>
      </c>
      <c r="N72">
        <v>1119.25</v>
      </c>
    </row>
    <row r="73" spans="1:14" x14ac:dyDescent="0.3">
      <c r="A73" t="s">
        <v>82</v>
      </c>
      <c r="B73">
        <v>93349.85</v>
      </c>
      <c r="C73">
        <v>118411.36</v>
      </c>
      <c r="D73">
        <v>140921.04</v>
      </c>
      <c r="E73">
        <v>115290.99</v>
      </c>
      <c r="F73">
        <v>106432.99</v>
      </c>
      <c r="G73">
        <v>107319.35</v>
      </c>
      <c r="H73">
        <v>114668.54</v>
      </c>
      <c r="I73">
        <v>555103.56999999995</v>
      </c>
      <c r="J73">
        <v>302542.78000000003</v>
      </c>
      <c r="K73">
        <v>274439.57</v>
      </c>
      <c r="L73">
        <v>213726.24</v>
      </c>
      <c r="M73">
        <v>199652.06</v>
      </c>
      <c r="N73">
        <v>206424.42</v>
      </c>
    </row>
    <row r="74" spans="1:14" x14ac:dyDescent="0.3">
      <c r="A74" t="s">
        <v>284</v>
      </c>
      <c r="B74">
        <v>4726.2700000000004</v>
      </c>
      <c r="C74">
        <v>4835.7700000000004</v>
      </c>
      <c r="D74">
        <v>5381.05</v>
      </c>
      <c r="E74">
        <v>5722.03</v>
      </c>
      <c r="F74">
        <v>6936.21</v>
      </c>
      <c r="G74">
        <v>7537.61</v>
      </c>
      <c r="H74">
        <v>7517.3</v>
      </c>
      <c r="I74">
        <v>7547.81</v>
      </c>
      <c r="J74">
        <v>8362.0499999999993</v>
      </c>
      <c r="K74">
        <v>8366.5400000000009</v>
      </c>
      <c r="L74">
        <v>9763.44</v>
      </c>
      <c r="M74">
        <v>9513.56</v>
      </c>
      <c r="N74">
        <v>9772.86</v>
      </c>
    </row>
    <row r="75" spans="1:14" x14ac:dyDescent="0.3">
      <c r="A75" t="s">
        <v>285</v>
      </c>
      <c r="B75">
        <v>6081.13</v>
      </c>
      <c r="C75">
        <v>6259.86</v>
      </c>
      <c r="D75">
        <v>13091.71</v>
      </c>
      <c r="E75">
        <v>13415.99</v>
      </c>
      <c r="F75">
        <v>13300.47</v>
      </c>
      <c r="G75">
        <v>11268.13</v>
      </c>
      <c r="H75">
        <v>16221.78</v>
      </c>
      <c r="I75">
        <v>17905.490000000002</v>
      </c>
      <c r="J75">
        <v>21598.09</v>
      </c>
      <c r="K75">
        <v>18001.21</v>
      </c>
      <c r="L75">
        <v>15374.86</v>
      </c>
      <c r="M75">
        <v>19895.03</v>
      </c>
      <c r="N75">
        <v>21453.68</v>
      </c>
    </row>
    <row r="76" spans="1:14" x14ac:dyDescent="0.3">
      <c r="A76" t="s">
        <v>286</v>
      </c>
      <c r="B76">
        <v>87.34</v>
      </c>
      <c r="C76">
        <v>99.41</v>
      </c>
      <c r="D76">
        <v>121.7</v>
      </c>
      <c r="E76">
        <v>129.81</v>
      </c>
      <c r="F76">
        <v>228.18</v>
      </c>
      <c r="G76">
        <v>137.79</v>
      </c>
      <c r="H76">
        <v>193.97</v>
      </c>
      <c r="I76">
        <v>379.15</v>
      </c>
      <c r="J76">
        <v>371.97</v>
      </c>
      <c r="K76">
        <v>1055.96</v>
      </c>
      <c r="L76">
        <v>400.2</v>
      </c>
      <c r="M76">
        <v>602.78</v>
      </c>
      <c r="N76">
        <v>687.01</v>
      </c>
    </row>
    <row r="77" spans="1:14" x14ac:dyDescent="0.3">
      <c r="A77" t="s">
        <v>84</v>
      </c>
      <c r="B77">
        <v>796.45</v>
      </c>
      <c r="C77">
        <v>1010.04</v>
      </c>
      <c r="D77">
        <v>597.48</v>
      </c>
      <c r="E77">
        <v>861.58</v>
      </c>
      <c r="F77">
        <v>636.87</v>
      </c>
      <c r="G77">
        <v>490.57</v>
      </c>
      <c r="H77">
        <v>300.82</v>
      </c>
      <c r="I77">
        <v>529.58000000000004</v>
      </c>
      <c r="J77">
        <v>642.55999999999995</v>
      </c>
      <c r="K77">
        <v>1902.59</v>
      </c>
      <c r="L77">
        <v>1935.21</v>
      </c>
      <c r="M77">
        <v>3220.86</v>
      </c>
      <c r="N77">
        <v>3323.66</v>
      </c>
    </row>
    <row r="78" spans="1:14" x14ac:dyDescent="0.3">
      <c r="A78" t="s">
        <v>287</v>
      </c>
      <c r="B78">
        <v>38683.81</v>
      </c>
      <c r="C78">
        <v>1239.01</v>
      </c>
      <c r="D78">
        <v>2839.72</v>
      </c>
      <c r="E78">
        <v>49433.4</v>
      </c>
      <c r="F78">
        <v>57035.9</v>
      </c>
      <c r="G78">
        <v>63928.5</v>
      </c>
      <c r="H78">
        <v>74341.740000000005</v>
      </c>
      <c r="I78">
        <v>113910.19</v>
      </c>
      <c r="J78">
        <v>101036.34</v>
      </c>
      <c r="K78">
        <v>94400.65</v>
      </c>
      <c r="L78">
        <v>93414.83</v>
      </c>
      <c r="M78">
        <v>89653.2</v>
      </c>
      <c r="N78">
        <v>89739.69</v>
      </c>
    </row>
    <row r="79" spans="1:14" x14ac:dyDescent="0.3">
      <c r="A79" t="s">
        <v>288</v>
      </c>
      <c r="B79">
        <v>4292.68</v>
      </c>
      <c r="C79">
        <v>163.78</v>
      </c>
      <c r="D79">
        <v>1095.3800000000001</v>
      </c>
      <c r="E79">
        <v>920.15</v>
      </c>
      <c r="F79">
        <v>729.86</v>
      </c>
      <c r="G79">
        <v>1322.58</v>
      </c>
      <c r="H79">
        <v>2326.9</v>
      </c>
      <c r="I79">
        <v>2129.15</v>
      </c>
      <c r="J79">
        <v>1929.2</v>
      </c>
      <c r="K79">
        <v>2952.71</v>
      </c>
      <c r="L79">
        <v>3829.11</v>
      </c>
      <c r="M79">
        <v>3183.96</v>
      </c>
      <c r="N79">
        <v>3471.82</v>
      </c>
    </row>
    <row r="80" spans="1:14" x14ac:dyDescent="0.3">
      <c r="A80" t="s">
        <v>289</v>
      </c>
      <c r="B80">
        <v>32992.83</v>
      </c>
      <c r="C80">
        <v>513.30999999999995</v>
      </c>
      <c r="D80">
        <v>1066.3399999999999</v>
      </c>
      <c r="E80">
        <v>47499.07</v>
      </c>
      <c r="F80">
        <v>55166.04</v>
      </c>
      <c r="G80">
        <v>61815.09</v>
      </c>
      <c r="H80">
        <v>71679.3</v>
      </c>
      <c r="I80">
        <v>111169.53</v>
      </c>
      <c r="J80">
        <v>98441.36</v>
      </c>
      <c r="K80">
        <v>90805.93</v>
      </c>
      <c r="L80">
        <v>89153.71</v>
      </c>
      <c r="M80">
        <v>86000</v>
      </c>
      <c r="N80">
        <v>85851.06</v>
      </c>
    </row>
    <row r="81" spans="1:14" x14ac:dyDescent="0.3">
      <c r="A81" t="s">
        <v>290</v>
      </c>
      <c r="B81">
        <v>112.07</v>
      </c>
      <c r="C81">
        <v>0.76</v>
      </c>
      <c r="D81">
        <v>6.81</v>
      </c>
      <c r="E81">
        <v>138.53</v>
      </c>
      <c r="F81">
        <v>93.28</v>
      </c>
      <c r="G81">
        <v>68.099999999999994</v>
      </c>
      <c r="H81">
        <v>43.79</v>
      </c>
      <c r="I81">
        <v>225.14</v>
      </c>
      <c r="J81">
        <v>250.02</v>
      </c>
      <c r="K81">
        <v>239.25</v>
      </c>
      <c r="L81">
        <v>124.33</v>
      </c>
      <c r="M81">
        <v>126.9</v>
      </c>
      <c r="N81">
        <v>108</v>
      </c>
    </row>
    <row r="82" spans="1:14" x14ac:dyDescent="0.3">
      <c r="A82" t="s">
        <v>86</v>
      </c>
      <c r="B82">
        <v>1286.23</v>
      </c>
      <c r="C82">
        <v>561.16</v>
      </c>
      <c r="D82">
        <v>671.19</v>
      </c>
      <c r="E82">
        <v>875.65</v>
      </c>
      <c r="F82">
        <v>1046.72</v>
      </c>
      <c r="G82">
        <v>722.73</v>
      </c>
      <c r="H82">
        <v>291.75</v>
      </c>
      <c r="I82">
        <v>386.37</v>
      </c>
      <c r="J82">
        <v>415.76</v>
      </c>
      <c r="K82">
        <v>402.76</v>
      </c>
      <c r="L82">
        <v>307.68</v>
      </c>
      <c r="M82">
        <v>342.34</v>
      </c>
      <c r="N82">
        <v>308.81</v>
      </c>
    </row>
    <row r="83" spans="1:14" x14ac:dyDescent="0.3">
      <c r="A83" t="s">
        <v>291</v>
      </c>
      <c r="B83">
        <v>4035.87</v>
      </c>
      <c r="C83">
        <v>4930.55</v>
      </c>
      <c r="D83">
        <v>3761.59</v>
      </c>
      <c r="E83">
        <v>4066.03</v>
      </c>
      <c r="F83">
        <v>4016.99</v>
      </c>
      <c r="G83">
        <v>4163.9799999999996</v>
      </c>
      <c r="H83">
        <v>4170.7700000000004</v>
      </c>
      <c r="I83">
        <v>1884.82</v>
      </c>
      <c r="J83">
        <v>2730.26</v>
      </c>
      <c r="K83">
        <v>3236.02</v>
      </c>
      <c r="L83">
        <v>1990.18</v>
      </c>
      <c r="M83">
        <v>67188.45</v>
      </c>
      <c r="N83">
        <v>81805.600000000006</v>
      </c>
    </row>
    <row r="84" spans="1:14" x14ac:dyDescent="0.3">
      <c r="A84" t="s">
        <v>88</v>
      </c>
      <c r="B84">
        <v>98.87</v>
      </c>
      <c r="C84">
        <v>1580.55</v>
      </c>
      <c r="D84">
        <v>259.58999999999997</v>
      </c>
      <c r="E84">
        <v>566.53</v>
      </c>
      <c r="F84">
        <v>512.99</v>
      </c>
      <c r="G84">
        <v>214.48</v>
      </c>
      <c r="H84">
        <v>528.27</v>
      </c>
      <c r="I84">
        <v>776.66</v>
      </c>
      <c r="J84">
        <v>998.14</v>
      </c>
      <c r="K84">
        <v>671.56</v>
      </c>
      <c r="L84">
        <v>789.61</v>
      </c>
      <c r="M84">
        <v>63240.91</v>
      </c>
      <c r="N84">
        <v>77853.600000000006</v>
      </c>
    </row>
    <row r="85" spans="1:14" x14ac:dyDescent="0.3">
      <c r="A85" t="s">
        <v>292</v>
      </c>
      <c r="B85">
        <v>3937</v>
      </c>
      <c r="C85">
        <v>3350</v>
      </c>
      <c r="D85">
        <v>3502</v>
      </c>
      <c r="E85">
        <v>3499.5</v>
      </c>
      <c r="F85">
        <v>3504</v>
      </c>
      <c r="G85">
        <v>3949.5</v>
      </c>
      <c r="H85">
        <v>3642.5</v>
      </c>
      <c r="I85">
        <v>1108.1600000000001</v>
      </c>
      <c r="J85">
        <v>1732.12</v>
      </c>
      <c r="K85">
        <v>2564.46</v>
      </c>
      <c r="L85">
        <v>1200.57</v>
      </c>
      <c r="M85">
        <v>3947.54</v>
      </c>
      <c r="N85">
        <v>3952</v>
      </c>
    </row>
    <row r="86" spans="1:14" x14ac:dyDescent="0.3">
      <c r="A86" t="s">
        <v>293</v>
      </c>
      <c r="B86">
        <v>846.2</v>
      </c>
      <c r="C86">
        <v>1217.6199999999999</v>
      </c>
      <c r="D86">
        <v>1330.77</v>
      </c>
      <c r="E86">
        <v>1202.1600000000001</v>
      </c>
      <c r="F86">
        <v>1935.83</v>
      </c>
      <c r="G86">
        <v>2678.54</v>
      </c>
      <c r="H86">
        <v>3314.34</v>
      </c>
      <c r="I86">
        <v>4314.37</v>
      </c>
      <c r="J86">
        <v>10280.84</v>
      </c>
      <c r="K86">
        <v>7318.84</v>
      </c>
      <c r="L86">
        <v>10371.02</v>
      </c>
      <c r="M86">
        <v>6585.91</v>
      </c>
      <c r="N86">
        <v>7980.33</v>
      </c>
    </row>
    <row r="87" spans="1:14" x14ac:dyDescent="0.3">
      <c r="A87" t="s">
        <v>294</v>
      </c>
      <c r="B87" t="s">
        <v>54</v>
      </c>
      <c r="C87" t="s">
        <v>54</v>
      </c>
      <c r="D87">
        <v>400</v>
      </c>
      <c r="E87">
        <v>100</v>
      </c>
      <c r="F87" t="s">
        <v>55</v>
      </c>
      <c r="G87" t="s">
        <v>55</v>
      </c>
      <c r="H87" t="s">
        <v>55</v>
      </c>
      <c r="I87" t="s">
        <v>54</v>
      </c>
      <c r="J87">
        <v>4634.46</v>
      </c>
      <c r="K87">
        <v>624.34</v>
      </c>
      <c r="L87">
        <v>3190.73</v>
      </c>
      <c r="M87">
        <v>215.2</v>
      </c>
      <c r="N87">
        <v>969</v>
      </c>
    </row>
    <row r="88" spans="1:14" x14ac:dyDescent="0.3">
      <c r="A88" t="s">
        <v>90</v>
      </c>
      <c r="B88">
        <v>432.59</v>
      </c>
      <c r="C88">
        <v>720.57</v>
      </c>
      <c r="D88">
        <v>448.83</v>
      </c>
      <c r="E88">
        <v>621.94000000000005</v>
      </c>
      <c r="F88">
        <v>1382.36</v>
      </c>
      <c r="G88">
        <v>2165.4899999999998</v>
      </c>
      <c r="H88">
        <v>2820.81</v>
      </c>
      <c r="I88">
        <v>3931.46</v>
      </c>
      <c r="J88">
        <v>5191.62</v>
      </c>
      <c r="K88">
        <v>6206.4</v>
      </c>
      <c r="L88">
        <v>6711.97</v>
      </c>
      <c r="M88">
        <v>5934.62</v>
      </c>
      <c r="N88">
        <v>6550.15</v>
      </c>
    </row>
    <row r="89" spans="1:14" x14ac:dyDescent="0.3">
      <c r="A89" t="s">
        <v>91</v>
      </c>
      <c r="B89">
        <v>212.68</v>
      </c>
      <c r="C89">
        <v>274.62</v>
      </c>
      <c r="D89">
        <v>229.23</v>
      </c>
      <c r="E89">
        <v>250.92</v>
      </c>
      <c r="F89">
        <v>287.33</v>
      </c>
      <c r="G89">
        <v>304.3</v>
      </c>
      <c r="H89">
        <v>309.86</v>
      </c>
      <c r="I89">
        <v>292.01</v>
      </c>
      <c r="J89">
        <v>333.04</v>
      </c>
      <c r="K89">
        <v>383.45</v>
      </c>
      <c r="L89">
        <v>366.59</v>
      </c>
      <c r="M89">
        <v>405.5</v>
      </c>
      <c r="N89">
        <v>423.16</v>
      </c>
    </row>
    <row r="90" spans="1:14" x14ac:dyDescent="0.3">
      <c r="A90" t="s">
        <v>295</v>
      </c>
      <c r="B90">
        <v>200.93</v>
      </c>
      <c r="C90">
        <v>222.43</v>
      </c>
      <c r="D90">
        <v>252.71</v>
      </c>
      <c r="E90">
        <v>229.3</v>
      </c>
      <c r="F90">
        <v>266.14</v>
      </c>
      <c r="G90">
        <v>208.75</v>
      </c>
      <c r="H90">
        <v>183.67</v>
      </c>
      <c r="I90">
        <v>90.9</v>
      </c>
      <c r="J90">
        <v>121.72</v>
      </c>
      <c r="K90">
        <v>104.65</v>
      </c>
      <c r="L90">
        <v>101.73</v>
      </c>
      <c r="M90">
        <v>30.59</v>
      </c>
      <c r="N90">
        <v>38.020000000000003</v>
      </c>
    </row>
    <row r="91" spans="1:14" x14ac:dyDescent="0.3">
      <c r="A91" t="s">
        <v>296</v>
      </c>
      <c r="B91">
        <v>95257.62</v>
      </c>
      <c r="C91">
        <v>73739.039999999994</v>
      </c>
      <c r="D91">
        <v>41056.06</v>
      </c>
      <c r="E91">
        <v>46352.47</v>
      </c>
      <c r="F91">
        <v>46711.64</v>
      </c>
      <c r="G91">
        <v>47886.41</v>
      </c>
      <c r="H91">
        <v>62343.6</v>
      </c>
      <c r="I91">
        <v>56647.92</v>
      </c>
      <c r="J91">
        <v>32194.5</v>
      </c>
      <c r="K91">
        <v>53135.59</v>
      </c>
      <c r="L91">
        <v>43968.94</v>
      </c>
      <c r="M91">
        <v>54698.71</v>
      </c>
      <c r="N91">
        <v>63392.4</v>
      </c>
    </row>
    <row r="92" spans="1:14" x14ac:dyDescent="0.3">
      <c r="A92" t="s">
        <v>297</v>
      </c>
      <c r="B92">
        <v>7436.98</v>
      </c>
      <c r="C92">
        <v>7915.69</v>
      </c>
      <c r="D92">
        <v>10287.719999999999</v>
      </c>
      <c r="E92">
        <v>11804.51</v>
      </c>
      <c r="F92">
        <v>15723.23</v>
      </c>
      <c r="G92">
        <v>17152.060000000001</v>
      </c>
      <c r="H92">
        <v>18381.78</v>
      </c>
      <c r="I92">
        <v>14412.56</v>
      </c>
      <c r="J92">
        <v>22338.66</v>
      </c>
      <c r="K92">
        <v>14778.66</v>
      </c>
      <c r="L92">
        <v>21830.61</v>
      </c>
      <c r="M92">
        <v>22232.720000000001</v>
      </c>
      <c r="N92">
        <v>26592.67</v>
      </c>
    </row>
    <row r="93" spans="1:14" x14ac:dyDescent="0.3">
      <c r="A93" t="s">
        <v>95</v>
      </c>
      <c r="B93">
        <v>85395.91</v>
      </c>
      <c r="C93">
        <v>60284.86</v>
      </c>
      <c r="D93">
        <v>30072.3</v>
      </c>
      <c r="E93">
        <v>27637.15</v>
      </c>
      <c r="F93">
        <v>24915.81</v>
      </c>
      <c r="G93">
        <v>25901.08</v>
      </c>
      <c r="H93">
        <v>39986.879999999997</v>
      </c>
      <c r="I93">
        <v>39252.79</v>
      </c>
      <c r="J93">
        <v>5368.58</v>
      </c>
      <c r="K93">
        <v>30781.49</v>
      </c>
      <c r="L93">
        <v>14137.57</v>
      </c>
      <c r="M93">
        <v>16855.009999999998</v>
      </c>
      <c r="N93">
        <v>12520.92</v>
      </c>
    </row>
    <row r="94" spans="1:14" x14ac:dyDescent="0.3">
      <c r="A94" t="s">
        <v>96</v>
      </c>
      <c r="B94">
        <v>528.83000000000004</v>
      </c>
      <c r="C94">
        <v>484.01</v>
      </c>
      <c r="D94">
        <v>530.6</v>
      </c>
      <c r="E94">
        <v>496.35</v>
      </c>
      <c r="F94">
        <v>680.35</v>
      </c>
      <c r="G94">
        <v>663.64</v>
      </c>
      <c r="H94">
        <v>774.12</v>
      </c>
      <c r="I94">
        <v>523.44000000000005</v>
      </c>
      <c r="J94">
        <v>514.6</v>
      </c>
      <c r="K94">
        <v>71.319999999999993</v>
      </c>
      <c r="L94">
        <v>131.66</v>
      </c>
      <c r="M94">
        <v>77.94</v>
      </c>
      <c r="N94">
        <v>432.04</v>
      </c>
    </row>
    <row r="95" spans="1:14" x14ac:dyDescent="0.3">
      <c r="A95" t="s">
        <v>97</v>
      </c>
      <c r="B95">
        <v>1895.9</v>
      </c>
      <c r="C95">
        <v>5054.4799999999996</v>
      </c>
      <c r="D95">
        <v>165.44</v>
      </c>
      <c r="E95">
        <v>6414.46</v>
      </c>
      <c r="F95">
        <v>5392.25</v>
      </c>
      <c r="G95">
        <v>4169.63</v>
      </c>
      <c r="H95">
        <v>3200.82</v>
      </c>
      <c r="I95">
        <v>2459.13</v>
      </c>
      <c r="J95">
        <v>3972.66</v>
      </c>
      <c r="K95">
        <v>7504.12</v>
      </c>
      <c r="L95">
        <v>7869.1</v>
      </c>
      <c r="M95">
        <v>15533.04</v>
      </c>
      <c r="N95">
        <v>23846.77</v>
      </c>
    </row>
    <row r="96" spans="1:14" x14ac:dyDescent="0.3">
      <c r="A96" t="s">
        <v>298</v>
      </c>
      <c r="B96">
        <v>40940.410000000003</v>
      </c>
      <c r="C96">
        <v>52963.85</v>
      </c>
      <c r="D96">
        <v>53173.97</v>
      </c>
      <c r="E96">
        <v>74544.88</v>
      </c>
      <c r="F96">
        <v>89118.61</v>
      </c>
      <c r="G96">
        <v>76055.960000000006</v>
      </c>
      <c r="H96">
        <v>81546.2</v>
      </c>
      <c r="I96">
        <v>116626.53</v>
      </c>
      <c r="J96">
        <v>150284.15</v>
      </c>
      <c r="K96">
        <v>213635.34</v>
      </c>
      <c r="L96">
        <v>177623.77</v>
      </c>
      <c r="M96">
        <v>181345.16</v>
      </c>
      <c r="N96">
        <v>181763.18</v>
      </c>
    </row>
    <row r="97" spans="1:14" x14ac:dyDescent="0.3">
      <c r="A97" t="s">
        <v>99</v>
      </c>
      <c r="B97">
        <v>4010.29</v>
      </c>
      <c r="C97">
        <v>3704.16</v>
      </c>
      <c r="D97">
        <v>4349.12</v>
      </c>
      <c r="E97">
        <v>5071.5</v>
      </c>
      <c r="F97">
        <v>7536.48</v>
      </c>
      <c r="G97">
        <v>7679.4</v>
      </c>
      <c r="H97">
        <v>8129.25</v>
      </c>
      <c r="I97">
        <v>6644.59</v>
      </c>
      <c r="J97">
        <v>16228.31</v>
      </c>
      <c r="K97">
        <v>24639.41</v>
      </c>
      <c r="L97">
        <v>22749.13</v>
      </c>
      <c r="M97">
        <v>16656.84</v>
      </c>
      <c r="N97">
        <v>21919.53</v>
      </c>
    </row>
    <row r="98" spans="1:14" x14ac:dyDescent="0.3">
      <c r="A98" t="s">
        <v>299</v>
      </c>
      <c r="B98">
        <v>34892.870000000003</v>
      </c>
      <c r="C98">
        <v>46937.22</v>
      </c>
      <c r="D98">
        <v>46000.01</v>
      </c>
      <c r="E98">
        <v>67410.84</v>
      </c>
      <c r="F98">
        <v>77602.09</v>
      </c>
      <c r="G98">
        <v>62673.41</v>
      </c>
      <c r="H98">
        <v>67549.53</v>
      </c>
      <c r="I98">
        <v>101721.85</v>
      </c>
      <c r="J98">
        <v>124057.7</v>
      </c>
      <c r="K98">
        <v>183828.2</v>
      </c>
      <c r="L98">
        <v>148622.47</v>
      </c>
      <c r="M98">
        <v>158953.51</v>
      </c>
      <c r="N98">
        <v>155880.9</v>
      </c>
    </row>
    <row r="99" spans="1:14" x14ac:dyDescent="0.3">
      <c r="A99" t="s">
        <v>101</v>
      </c>
      <c r="B99">
        <v>674.9</v>
      </c>
      <c r="C99">
        <v>818.43</v>
      </c>
      <c r="D99">
        <v>918.71</v>
      </c>
      <c r="E99">
        <v>1013.92</v>
      </c>
      <c r="F99">
        <v>1150.22</v>
      </c>
      <c r="G99">
        <v>1203.1500000000001</v>
      </c>
      <c r="H99">
        <v>1276.5999999999999</v>
      </c>
      <c r="I99">
        <v>1258.1099999999999</v>
      </c>
      <c r="J99">
        <v>4130.1000000000004</v>
      </c>
      <c r="K99">
        <v>1485.62</v>
      </c>
      <c r="L99">
        <v>2696.94</v>
      </c>
      <c r="M99">
        <v>2943.07</v>
      </c>
      <c r="N99">
        <v>2809.45</v>
      </c>
    </row>
    <row r="100" spans="1:14" x14ac:dyDescent="0.3">
      <c r="A100" t="s">
        <v>107</v>
      </c>
      <c r="B100">
        <v>568.14</v>
      </c>
      <c r="C100">
        <v>216.3</v>
      </c>
      <c r="D100">
        <v>221.55</v>
      </c>
      <c r="E100">
        <v>108.23</v>
      </c>
      <c r="F100">
        <v>248.49</v>
      </c>
      <c r="G100">
        <v>185.09</v>
      </c>
      <c r="H100">
        <v>239.09</v>
      </c>
      <c r="I100">
        <v>179.94</v>
      </c>
      <c r="J100">
        <v>217.58</v>
      </c>
      <c r="K100">
        <v>279.20999999999998</v>
      </c>
      <c r="L100">
        <v>300.88</v>
      </c>
      <c r="M100">
        <v>350.29</v>
      </c>
      <c r="N100">
        <v>353.85</v>
      </c>
    </row>
    <row r="101" spans="1:14" x14ac:dyDescent="0.3">
      <c r="A101" t="s">
        <v>300</v>
      </c>
      <c r="B101">
        <v>794.21</v>
      </c>
      <c r="C101">
        <v>1287.74</v>
      </c>
      <c r="D101">
        <v>1684.58</v>
      </c>
      <c r="E101">
        <v>940.39</v>
      </c>
      <c r="F101">
        <v>2581.33</v>
      </c>
      <c r="G101">
        <v>4314.91</v>
      </c>
      <c r="H101">
        <v>4351.7299999999996</v>
      </c>
      <c r="I101">
        <v>6822.04</v>
      </c>
      <c r="J101">
        <v>5650.46</v>
      </c>
      <c r="K101">
        <v>3402.9</v>
      </c>
      <c r="L101">
        <v>3254.35</v>
      </c>
      <c r="M101">
        <v>2441.4499999999998</v>
      </c>
      <c r="N101">
        <v>799.45</v>
      </c>
    </row>
    <row r="102" spans="1:14" x14ac:dyDescent="0.3">
      <c r="A102" t="s">
        <v>301</v>
      </c>
      <c r="B102">
        <v>173160.53</v>
      </c>
      <c r="C102">
        <v>189226.33</v>
      </c>
      <c r="D102">
        <v>199951.01</v>
      </c>
      <c r="E102">
        <v>195839.17</v>
      </c>
      <c r="F102">
        <v>201733.04</v>
      </c>
      <c r="G102">
        <v>214548.73</v>
      </c>
      <c r="H102">
        <v>185077.46</v>
      </c>
      <c r="I102">
        <v>153465.32999999999</v>
      </c>
      <c r="J102">
        <v>219646.2</v>
      </c>
      <c r="K102">
        <v>258145.77</v>
      </c>
      <c r="L102">
        <v>279143.90000000002</v>
      </c>
      <c r="M102">
        <v>309201.27</v>
      </c>
      <c r="N102">
        <v>316280.71999999997</v>
      </c>
    </row>
    <row r="103" spans="1:14" x14ac:dyDescent="0.3">
      <c r="A103" t="s">
        <v>302</v>
      </c>
      <c r="B103">
        <v>143213.88</v>
      </c>
      <c r="C103">
        <v>161017.25</v>
      </c>
      <c r="D103">
        <v>1315.2</v>
      </c>
      <c r="E103">
        <v>1439.87</v>
      </c>
      <c r="F103">
        <v>1429.81</v>
      </c>
      <c r="G103">
        <v>1953.2</v>
      </c>
      <c r="H103">
        <v>1785.86</v>
      </c>
      <c r="I103">
        <v>1668.56</v>
      </c>
      <c r="J103">
        <v>1785.26</v>
      </c>
      <c r="K103">
        <v>2003.8</v>
      </c>
      <c r="L103">
        <v>1940.12</v>
      </c>
      <c r="M103">
        <v>2500</v>
      </c>
      <c r="N103">
        <v>2700</v>
      </c>
    </row>
    <row r="104" spans="1:14" x14ac:dyDescent="0.3">
      <c r="A104" t="s">
        <v>303</v>
      </c>
      <c r="D104">
        <v>147835.94</v>
      </c>
      <c r="E104">
        <v>157979.07999999999</v>
      </c>
      <c r="F104">
        <v>173827.74</v>
      </c>
      <c r="G104">
        <v>182840.3</v>
      </c>
      <c r="H104">
        <v>169221.11</v>
      </c>
      <c r="I104">
        <v>135227.28</v>
      </c>
      <c r="J104">
        <v>202200.71</v>
      </c>
      <c r="K104">
        <v>233023.19</v>
      </c>
      <c r="L104">
        <v>248161.82</v>
      </c>
      <c r="M104">
        <v>273272.69</v>
      </c>
      <c r="N104">
        <v>294203.69</v>
      </c>
    </row>
    <row r="105" spans="1:14" x14ac:dyDescent="0.3">
      <c r="A105" t="s">
        <v>304</v>
      </c>
      <c r="D105">
        <v>8722.51</v>
      </c>
      <c r="E105">
        <v>1050.53</v>
      </c>
      <c r="F105">
        <v>2006.48</v>
      </c>
      <c r="G105">
        <v>1940</v>
      </c>
      <c r="H105">
        <v>2098.1</v>
      </c>
      <c r="I105">
        <v>1340.23</v>
      </c>
      <c r="J105">
        <v>2405.62</v>
      </c>
      <c r="K105">
        <v>2632.59</v>
      </c>
      <c r="L105">
        <v>2731.8</v>
      </c>
      <c r="M105">
        <v>1886</v>
      </c>
      <c r="N105">
        <v>2155</v>
      </c>
    </row>
    <row r="106" spans="1:14" x14ac:dyDescent="0.3">
      <c r="A106" t="s">
        <v>305</v>
      </c>
      <c r="B106" t="s">
        <v>55</v>
      </c>
      <c r="C106" t="s">
        <v>55</v>
      </c>
      <c r="D106">
        <v>10505.96</v>
      </c>
      <c r="E106">
        <v>4913</v>
      </c>
      <c r="F106">
        <v>1665.61</v>
      </c>
      <c r="G106">
        <v>3773.86</v>
      </c>
      <c r="H106">
        <v>1589.62</v>
      </c>
      <c r="I106">
        <v>2547.48</v>
      </c>
      <c r="J106">
        <v>0</v>
      </c>
      <c r="K106">
        <v>2517.38</v>
      </c>
      <c r="L106">
        <v>3259.68</v>
      </c>
      <c r="M106">
        <v>1341.31</v>
      </c>
      <c r="N106">
        <v>3041.31</v>
      </c>
    </row>
    <row r="107" spans="1:14" x14ac:dyDescent="0.3">
      <c r="A107" t="s">
        <v>112</v>
      </c>
      <c r="B107">
        <v>643.09</v>
      </c>
      <c r="C107">
        <v>629.33000000000004</v>
      </c>
      <c r="D107">
        <v>702.36</v>
      </c>
      <c r="E107">
        <v>744.7</v>
      </c>
      <c r="F107">
        <v>765.04</v>
      </c>
      <c r="G107">
        <v>773.26</v>
      </c>
      <c r="H107">
        <v>697.59</v>
      </c>
      <c r="I107">
        <v>700.35</v>
      </c>
      <c r="J107">
        <v>921.84</v>
      </c>
      <c r="K107">
        <v>1008.46</v>
      </c>
      <c r="L107">
        <v>1062.1400000000001</v>
      </c>
      <c r="M107">
        <v>1348.21</v>
      </c>
      <c r="N107">
        <v>1376.72</v>
      </c>
    </row>
    <row r="108" spans="1:14" x14ac:dyDescent="0.3">
      <c r="A108" t="s">
        <v>113</v>
      </c>
      <c r="B108">
        <v>70.540000000000006</v>
      </c>
      <c r="C108">
        <v>91.96</v>
      </c>
      <c r="D108">
        <v>176.44</v>
      </c>
      <c r="E108">
        <v>148.68</v>
      </c>
      <c r="F108">
        <v>127.25</v>
      </c>
      <c r="G108">
        <v>124.22</v>
      </c>
      <c r="H108">
        <v>89.82</v>
      </c>
      <c r="I108">
        <v>116.74</v>
      </c>
      <c r="J108">
        <v>132.29</v>
      </c>
      <c r="K108">
        <v>189.94</v>
      </c>
      <c r="L108">
        <v>213.87</v>
      </c>
      <c r="M108">
        <v>308.57</v>
      </c>
      <c r="N108">
        <v>273.62</v>
      </c>
    </row>
    <row r="109" spans="1:14" x14ac:dyDescent="0.3">
      <c r="A109" t="s">
        <v>114</v>
      </c>
      <c r="B109">
        <v>875.63</v>
      </c>
      <c r="C109">
        <v>834.51</v>
      </c>
      <c r="D109">
        <v>275.81</v>
      </c>
      <c r="E109">
        <v>339.86</v>
      </c>
      <c r="F109">
        <v>660.13</v>
      </c>
      <c r="G109">
        <v>5661.57</v>
      </c>
      <c r="H109">
        <v>3675.16</v>
      </c>
      <c r="I109">
        <v>4054.93</v>
      </c>
      <c r="J109">
        <v>5045.38</v>
      </c>
      <c r="K109">
        <v>9286.58</v>
      </c>
      <c r="L109">
        <v>2052.12</v>
      </c>
      <c r="M109">
        <v>2385.12</v>
      </c>
      <c r="N109">
        <v>2119.34</v>
      </c>
    </row>
    <row r="110" spans="1:14" x14ac:dyDescent="0.3">
      <c r="A110" t="s">
        <v>115</v>
      </c>
      <c r="B110">
        <v>23840.04</v>
      </c>
      <c r="C110">
        <v>21590.83</v>
      </c>
      <c r="D110">
        <v>25523.41</v>
      </c>
      <c r="E110">
        <v>25142.12</v>
      </c>
      <c r="F110">
        <v>18764.57</v>
      </c>
      <c r="G110">
        <v>14313.36</v>
      </c>
      <c r="H110">
        <v>3120.32</v>
      </c>
      <c r="I110">
        <v>4206.28</v>
      </c>
      <c r="J110">
        <v>4048.7</v>
      </c>
      <c r="K110">
        <v>4044.79</v>
      </c>
      <c r="L110">
        <v>16186.46</v>
      </c>
      <c r="M110">
        <v>22354.58</v>
      </c>
      <c r="N110">
        <v>6307.23</v>
      </c>
    </row>
    <row r="111" spans="1:14" x14ac:dyDescent="0.3">
      <c r="A111" t="s">
        <v>116</v>
      </c>
      <c r="B111">
        <v>133.05000000000001</v>
      </c>
      <c r="C111">
        <v>121.86</v>
      </c>
      <c r="D111">
        <v>128.03</v>
      </c>
      <c r="E111">
        <v>119.09</v>
      </c>
      <c r="F111">
        <v>142.08000000000001</v>
      </c>
      <c r="G111">
        <v>158.37</v>
      </c>
      <c r="H111">
        <v>140.19999999999999</v>
      </c>
      <c r="I111">
        <v>220.53</v>
      </c>
      <c r="J111">
        <v>158.41</v>
      </c>
      <c r="K111">
        <v>213.57</v>
      </c>
      <c r="L111">
        <v>248.99</v>
      </c>
      <c r="M111">
        <v>370.8</v>
      </c>
      <c r="N111">
        <v>565.02</v>
      </c>
    </row>
    <row r="112" spans="1:14" x14ac:dyDescent="0.3">
      <c r="A112" t="s">
        <v>117</v>
      </c>
      <c r="B112">
        <v>314.18</v>
      </c>
      <c r="C112">
        <v>192.26</v>
      </c>
      <c r="D112">
        <v>330.72</v>
      </c>
      <c r="E112">
        <v>367.79</v>
      </c>
      <c r="F112">
        <v>452.95</v>
      </c>
      <c r="G112">
        <v>870.64</v>
      </c>
      <c r="H112">
        <v>506.39</v>
      </c>
      <c r="I112">
        <v>531.12</v>
      </c>
      <c r="J112">
        <v>23.5</v>
      </c>
      <c r="K112">
        <v>76.33</v>
      </c>
      <c r="L112">
        <v>76.5</v>
      </c>
      <c r="M112">
        <v>76.5</v>
      </c>
      <c r="N112">
        <v>76.5</v>
      </c>
    </row>
    <row r="113" spans="1:14" x14ac:dyDescent="0.3">
      <c r="A113" t="s">
        <v>118</v>
      </c>
      <c r="B113">
        <v>4070.12</v>
      </c>
      <c r="C113">
        <v>4748.33</v>
      </c>
      <c r="D113">
        <v>4434.63</v>
      </c>
      <c r="E113">
        <v>3594.45</v>
      </c>
      <c r="F113">
        <v>1891.38</v>
      </c>
      <c r="G113">
        <v>2139.9499999999998</v>
      </c>
      <c r="H113">
        <v>2153.29</v>
      </c>
      <c r="I113">
        <v>2851.83</v>
      </c>
      <c r="J113">
        <v>2924.49</v>
      </c>
      <c r="K113">
        <v>3149.14</v>
      </c>
      <c r="L113">
        <v>3210.4</v>
      </c>
      <c r="M113">
        <v>3357.49</v>
      </c>
      <c r="N113">
        <v>3462.29</v>
      </c>
    </row>
    <row r="114" spans="1:14" x14ac:dyDescent="0.3">
      <c r="A114" t="s">
        <v>306</v>
      </c>
      <c r="B114">
        <v>18656.68</v>
      </c>
      <c r="C114">
        <v>20635.53</v>
      </c>
      <c r="D114">
        <v>28710.55</v>
      </c>
      <c r="E114">
        <v>34307.74</v>
      </c>
      <c r="F114">
        <v>33366.49</v>
      </c>
      <c r="G114">
        <v>34206.86</v>
      </c>
      <c r="H114">
        <v>37709.839999999997</v>
      </c>
      <c r="I114">
        <v>50688.160000000003</v>
      </c>
      <c r="J114">
        <v>42520.44</v>
      </c>
      <c r="K114">
        <v>79404.27</v>
      </c>
      <c r="L114">
        <v>43848.35</v>
      </c>
      <c r="M114">
        <v>65543.34</v>
      </c>
      <c r="N114">
        <v>46166.03</v>
      </c>
    </row>
    <row r="115" spans="1:14" x14ac:dyDescent="0.3">
      <c r="A115" t="s">
        <v>120</v>
      </c>
      <c r="B115">
        <v>16203.52</v>
      </c>
      <c r="C115">
        <v>17894.57</v>
      </c>
      <c r="D115">
        <v>18946.97</v>
      </c>
      <c r="E115">
        <v>23456</v>
      </c>
      <c r="F115">
        <v>24874.04</v>
      </c>
      <c r="G115">
        <v>27173.07</v>
      </c>
      <c r="H115">
        <v>28371.33</v>
      </c>
      <c r="I115">
        <v>28327.61</v>
      </c>
      <c r="J115">
        <v>29721.43</v>
      </c>
      <c r="K115">
        <v>31456.33</v>
      </c>
      <c r="L115">
        <v>34389.64</v>
      </c>
      <c r="M115">
        <v>36744.480000000003</v>
      </c>
      <c r="N115">
        <v>38620.54</v>
      </c>
    </row>
    <row r="116" spans="1:14" x14ac:dyDescent="0.3">
      <c r="A116" t="s">
        <v>307</v>
      </c>
      <c r="B116">
        <v>150.86000000000001</v>
      </c>
      <c r="C116">
        <v>182.6</v>
      </c>
      <c r="D116">
        <v>239.18</v>
      </c>
      <c r="E116" t="s">
        <v>55</v>
      </c>
      <c r="F116" t="s">
        <v>55</v>
      </c>
      <c r="G116" t="s">
        <v>55</v>
      </c>
      <c r="H116" t="s">
        <v>55</v>
      </c>
      <c r="I116" t="s">
        <v>55</v>
      </c>
      <c r="J116" t="s">
        <v>55</v>
      </c>
      <c r="K116" t="s">
        <v>55</v>
      </c>
      <c r="L116" t="s">
        <v>55</v>
      </c>
      <c r="M116" t="s">
        <v>55</v>
      </c>
      <c r="N116" t="s">
        <v>55</v>
      </c>
    </row>
    <row r="117" spans="1:14" x14ac:dyDescent="0.3">
      <c r="A117" t="s">
        <v>122</v>
      </c>
      <c r="B117">
        <v>2302.3000000000002</v>
      </c>
      <c r="C117">
        <v>2558.36</v>
      </c>
      <c r="D117">
        <v>9524.4</v>
      </c>
      <c r="E117">
        <v>10851.74</v>
      </c>
      <c r="F117">
        <v>8492.4500000000007</v>
      </c>
      <c r="G117">
        <v>7033.79</v>
      </c>
      <c r="H117">
        <v>9338.51</v>
      </c>
      <c r="I117">
        <v>22360.55</v>
      </c>
      <c r="J117">
        <v>12799.01</v>
      </c>
      <c r="K117">
        <v>47947.94</v>
      </c>
      <c r="L117">
        <v>9458.7099999999991</v>
      </c>
      <c r="M117">
        <v>28798.86</v>
      </c>
      <c r="N117">
        <v>7545.49</v>
      </c>
    </row>
    <row r="118" spans="1:14" x14ac:dyDescent="0.3">
      <c r="A118" t="s">
        <v>308</v>
      </c>
      <c r="B118">
        <v>15462.2</v>
      </c>
      <c r="C118">
        <v>16840.689999999999</v>
      </c>
      <c r="D118">
        <v>19695.43</v>
      </c>
      <c r="E118">
        <v>20882.04</v>
      </c>
      <c r="F118">
        <v>24572.78</v>
      </c>
      <c r="G118">
        <v>26914.880000000001</v>
      </c>
      <c r="H118">
        <v>28094.45</v>
      </c>
      <c r="I118">
        <v>24516.31</v>
      </c>
      <c r="J118">
        <v>28331.23</v>
      </c>
      <c r="K118">
        <v>28755.38</v>
      </c>
      <c r="L118">
        <v>29856.080000000002</v>
      </c>
      <c r="M118">
        <v>35924.28</v>
      </c>
      <c r="N118">
        <v>40926.480000000003</v>
      </c>
    </row>
    <row r="119" spans="1:14" x14ac:dyDescent="0.3">
      <c r="A119" t="s">
        <v>124</v>
      </c>
      <c r="B119">
        <v>4107.76</v>
      </c>
      <c r="C119">
        <v>4188.2299999999996</v>
      </c>
      <c r="D119">
        <v>4891.13</v>
      </c>
      <c r="E119">
        <v>5073.79</v>
      </c>
      <c r="F119">
        <v>5786.35</v>
      </c>
      <c r="G119">
        <v>5715.54</v>
      </c>
      <c r="H119">
        <v>6483.57</v>
      </c>
      <c r="I119">
        <v>5913.91</v>
      </c>
      <c r="J119">
        <v>6111.46</v>
      </c>
      <c r="K119">
        <v>7006.76</v>
      </c>
      <c r="L119">
        <v>7337.42</v>
      </c>
      <c r="M119">
        <v>9226.66</v>
      </c>
      <c r="N119">
        <v>9627.94</v>
      </c>
    </row>
    <row r="120" spans="1:14" x14ac:dyDescent="0.3">
      <c r="A120" t="s">
        <v>125</v>
      </c>
      <c r="B120">
        <v>2556.48</v>
      </c>
      <c r="C120">
        <v>3146.65</v>
      </c>
      <c r="D120">
        <v>3609.7</v>
      </c>
      <c r="E120">
        <v>4377.0200000000004</v>
      </c>
      <c r="F120">
        <v>5294.6</v>
      </c>
      <c r="G120">
        <v>5602.77</v>
      </c>
      <c r="H120">
        <v>5785.52</v>
      </c>
      <c r="I120">
        <v>4818.76</v>
      </c>
      <c r="J120">
        <v>5525.86</v>
      </c>
      <c r="K120">
        <v>5772.57</v>
      </c>
      <c r="L120">
        <v>6171.14</v>
      </c>
      <c r="M120">
        <v>6865.38</v>
      </c>
      <c r="N120">
        <v>7198.77</v>
      </c>
    </row>
    <row r="121" spans="1:14" x14ac:dyDescent="0.3">
      <c r="A121" t="s">
        <v>126</v>
      </c>
      <c r="B121">
        <v>485.35</v>
      </c>
      <c r="C121">
        <v>467.58</v>
      </c>
      <c r="D121">
        <v>480.82</v>
      </c>
      <c r="E121">
        <v>412.34</v>
      </c>
      <c r="F121">
        <v>531.01</v>
      </c>
      <c r="G121">
        <v>690.39</v>
      </c>
      <c r="H121">
        <v>649.09</v>
      </c>
      <c r="I121">
        <v>432.89</v>
      </c>
      <c r="J121">
        <v>712.72</v>
      </c>
      <c r="K121">
        <v>535.95000000000005</v>
      </c>
      <c r="L121">
        <v>717.49</v>
      </c>
      <c r="M121">
        <v>1273.29</v>
      </c>
      <c r="N121">
        <v>1089.4000000000001</v>
      </c>
    </row>
    <row r="122" spans="1:14" x14ac:dyDescent="0.3">
      <c r="A122" t="s">
        <v>309</v>
      </c>
      <c r="B122">
        <v>7227.9</v>
      </c>
      <c r="C122">
        <v>7831.73</v>
      </c>
      <c r="D122">
        <v>9243.27</v>
      </c>
      <c r="E122">
        <v>10105.049999999999</v>
      </c>
      <c r="F122">
        <v>11408.44</v>
      </c>
      <c r="G122">
        <v>11795.43</v>
      </c>
      <c r="H122">
        <v>12576.11</v>
      </c>
      <c r="I122">
        <v>11234.3</v>
      </c>
      <c r="J122">
        <v>13049.09</v>
      </c>
      <c r="K122">
        <v>12274.61</v>
      </c>
      <c r="L122">
        <v>11470.17</v>
      </c>
      <c r="M122">
        <v>14142.93</v>
      </c>
      <c r="N122">
        <v>18184.09</v>
      </c>
    </row>
    <row r="123" spans="1:14" x14ac:dyDescent="0.3">
      <c r="A123" t="s">
        <v>310</v>
      </c>
      <c r="B123">
        <v>1084.71</v>
      </c>
      <c r="C123">
        <v>1206.5</v>
      </c>
      <c r="D123">
        <v>1470.51</v>
      </c>
      <c r="E123">
        <v>913.84</v>
      </c>
      <c r="F123">
        <v>1552.38</v>
      </c>
      <c r="G123">
        <v>3110.75</v>
      </c>
      <c r="H123">
        <v>2600.16</v>
      </c>
      <c r="I123">
        <v>2116.4499999999998</v>
      </c>
      <c r="J123">
        <v>2932.1</v>
      </c>
      <c r="K123">
        <v>3165.49</v>
      </c>
      <c r="L123">
        <v>4159.8599999999997</v>
      </c>
      <c r="M123">
        <v>4416.0200000000004</v>
      </c>
      <c r="N123">
        <v>4826.28</v>
      </c>
    </row>
    <row r="124" spans="1:14" x14ac:dyDescent="0.3">
      <c r="A124" t="s">
        <v>311</v>
      </c>
      <c r="B124">
        <v>12546.97</v>
      </c>
      <c r="C124">
        <v>12132.62</v>
      </c>
      <c r="D124">
        <v>13223.12</v>
      </c>
      <c r="E124">
        <v>22673.58</v>
      </c>
      <c r="F124">
        <v>19352.87</v>
      </c>
      <c r="G124">
        <v>17752.57</v>
      </c>
      <c r="H124">
        <v>19171.419999999998</v>
      </c>
      <c r="I124">
        <v>34421.64</v>
      </c>
      <c r="J124">
        <v>28862.65</v>
      </c>
      <c r="K124">
        <v>20180.400000000001</v>
      </c>
      <c r="L124">
        <v>24597.17</v>
      </c>
      <c r="M124">
        <v>57093.98</v>
      </c>
      <c r="N124">
        <v>35648.07</v>
      </c>
    </row>
    <row r="125" spans="1:14" x14ac:dyDescent="0.3">
      <c r="A125" t="s">
        <v>312</v>
      </c>
      <c r="B125">
        <v>2635.47</v>
      </c>
      <c r="C125">
        <v>2752.9</v>
      </c>
      <c r="D125">
        <v>2905.03</v>
      </c>
      <c r="E125">
        <v>3901.7</v>
      </c>
      <c r="F125">
        <v>3383.3</v>
      </c>
      <c r="G125">
        <v>4233.87</v>
      </c>
      <c r="H125">
        <v>4070.25</v>
      </c>
      <c r="I125">
        <v>3995.97</v>
      </c>
      <c r="J125">
        <v>5027.29</v>
      </c>
      <c r="K125">
        <v>4986.13</v>
      </c>
      <c r="L125">
        <v>6161.18</v>
      </c>
      <c r="M125">
        <v>6694.73</v>
      </c>
      <c r="N125">
        <v>17180.79</v>
      </c>
    </row>
    <row r="126" spans="1:14" x14ac:dyDescent="0.3">
      <c r="A126" t="s">
        <v>129</v>
      </c>
      <c r="B126">
        <v>625.94000000000005</v>
      </c>
      <c r="C126">
        <v>559.76</v>
      </c>
      <c r="D126">
        <v>689.05</v>
      </c>
      <c r="E126">
        <v>1623.84</v>
      </c>
      <c r="F126">
        <v>1758.97</v>
      </c>
      <c r="G126">
        <v>2082.38</v>
      </c>
      <c r="H126">
        <v>1354.97</v>
      </c>
      <c r="I126">
        <v>1090.19</v>
      </c>
      <c r="J126">
        <v>773.96</v>
      </c>
      <c r="K126">
        <v>672.68</v>
      </c>
      <c r="L126">
        <v>790.89</v>
      </c>
      <c r="M126">
        <v>759.7</v>
      </c>
      <c r="N126">
        <v>2282.5300000000002</v>
      </c>
    </row>
    <row r="127" spans="1:14" x14ac:dyDescent="0.3">
      <c r="A127" t="s">
        <v>130</v>
      </c>
      <c r="B127">
        <v>3526.38</v>
      </c>
      <c r="C127">
        <v>3747.24</v>
      </c>
      <c r="D127">
        <v>3988.37</v>
      </c>
      <c r="E127">
        <v>3531.75</v>
      </c>
      <c r="F127">
        <v>4449.7700000000004</v>
      </c>
      <c r="G127">
        <v>4872.57</v>
      </c>
      <c r="H127">
        <v>5116.74</v>
      </c>
      <c r="I127">
        <v>3290.92</v>
      </c>
      <c r="J127">
        <v>5707.32</v>
      </c>
      <c r="K127">
        <v>5768.7</v>
      </c>
      <c r="L127">
        <v>5137.62</v>
      </c>
      <c r="M127">
        <v>4175.26</v>
      </c>
      <c r="N127">
        <v>3517.78</v>
      </c>
    </row>
    <row r="128" spans="1:14" x14ac:dyDescent="0.3">
      <c r="A128" t="s">
        <v>313</v>
      </c>
      <c r="B128">
        <v>2466.2800000000002</v>
      </c>
      <c r="C128">
        <v>2300.89</v>
      </c>
      <c r="D128">
        <v>2470.29</v>
      </c>
      <c r="E128">
        <v>1605.69</v>
      </c>
      <c r="F128">
        <v>1399.23</v>
      </c>
      <c r="G128">
        <v>1544.71</v>
      </c>
      <c r="H128">
        <v>3304.71</v>
      </c>
      <c r="I128">
        <v>2548.1</v>
      </c>
      <c r="J128">
        <v>2938</v>
      </c>
      <c r="K128">
        <v>2763.26</v>
      </c>
      <c r="L128">
        <v>2525.09</v>
      </c>
      <c r="M128">
        <v>2407.5500000000002</v>
      </c>
      <c r="N128">
        <v>2523.29</v>
      </c>
    </row>
    <row r="129" spans="1:14" x14ac:dyDescent="0.3">
      <c r="A129" t="s">
        <v>131</v>
      </c>
      <c r="B129">
        <v>394.74</v>
      </c>
      <c r="C129">
        <v>456.3</v>
      </c>
      <c r="D129">
        <v>599.64</v>
      </c>
      <c r="E129">
        <v>802.13</v>
      </c>
      <c r="F129">
        <v>873.18</v>
      </c>
      <c r="G129">
        <v>814.44</v>
      </c>
      <c r="H129">
        <v>853.43</v>
      </c>
      <c r="I129">
        <v>692.56</v>
      </c>
      <c r="J129">
        <v>748.6</v>
      </c>
      <c r="K129">
        <v>832.03</v>
      </c>
      <c r="L129">
        <v>927.04</v>
      </c>
      <c r="M129">
        <v>1101.8900000000001</v>
      </c>
      <c r="N129">
        <v>1582.54</v>
      </c>
    </row>
    <row r="130" spans="1:14" x14ac:dyDescent="0.3">
      <c r="A130" t="s">
        <v>314</v>
      </c>
      <c r="B130">
        <v>95.81</v>
      </c>
      <c r="C130">
        <v>91.12</v>
      </c>
      <c r="D130">
        <v>97.76</v>
      </c>
      <c r="E130">
        <v>7003.5</v>
      </c>
      <c r="F130">
        <v>3608.03</v>
      </c>
      <c r="G130">
        <v>1628.94</v>
      </c>
      <c r="H130">
        <v>1813.52</v>
      </c>
      <c r="I130">
        <v>11236.45</v>
      </c>
      <c r="J130">
        <v>2103.44</v>
      </c>
      <c r="K130">
        <v>88.02</v>
      </c>
      <c r="L130">
        <v>116.16</v>
      </c>
      <c r="M130">
        <v>6436.34</v>
      </c>
      <c r="N130">
        <v>3735.52</v>
      </c>
    </row>
    <row r="131" spans="1:14" x14ac:dyDescent="0.3">
      <c r="A131" t="s">
        <v>315</v>
      </c>
      <c r="B131">
        <v>1325</v>
      </c>
      <c r="C131">
        <v>1310</v>
      </c>
      <c r="D131">
        <v>1165</v>
      </c>
      <c r="E131">
        <v>2174.9499999999998</v>
      </c>
      <c r="F131">
        <v>1736.93</v>
      </c>
      <c r="G131">
        <v>514.98</v>
      </c>
      <c r="H131">
        <v>16.420000000000002</v>
      </c>
      <c r="I131">
        <v>8729.92</v>
      </c>
      <c r="J131">
        <v>6939.08</v>
      </c>
      <c r="K131">
        <v>0.37</v>
      </c>
      <c r="L131">
        <v>2545.9899999999998</v>
      </c>
      <c r="M131">
        <v>2051.13</v>
      </c>
      <c r="N131">
        <v>488.14</v>
      </c>
    </row>
    <row r="132" spans="1:14" x14ac:dyDescent="0.3">
      <c r="A132" t="s">
        <v>316</v>
      </c>
      <c r="B132">
        <v>4.1900000000000004</v>
      </c>
      <c r="C132">
        <v>512.08000000000004</v>
      </c>
      <c r="D132">
        <v>536.66999999999996</v>
      </c>
      <c r="E132">
        <v>610.96</v>
      </c>
      <c r="F132">
        <v>660.04</v>
      </c>
      <c r="G132">
        <v>525.47</v>
      </c>
      <c r="H132">
        <v>480.46</v>
      </c>
      <c r="I132">
        <v>649.02</v>
      </c>
      <c r="J132">
        <v>628.42999999999995</v>
      </c>
      <c r="K132">
        <v>677.09</v>
      </c>
      <c r="L132">
        <v>897.19</v>
      </c>
      <c r="M132">
        <v>836.91</v>
      </c>
      <c r="N132">
        <v>926.04</v>
      </c>
    </row>
    <row r="133" spans="1:14" x14ac:dyDescent="0.3">
      <c r="A133" t="s">
        <v>134</v>
      </c>
      <c r="B133">
        <v>1473.16</v>
      </c>
      <c r="C133">
        <v>402.33</v>
      </c>
      <c r="D133">
        <v>771.31</v>
      </c>
      <c r="E133">
        <v>1419.06</v>
      </c>
      <c r="F133">
        <v>1483.42</v>
      </c>
      <c r="G133">
        <v>1535.21</v>
      </c>
      <c r="H133">
        <v>2160.92</v>
      </c>
      <c r="I133">
        <v>2188.5100000000002</v>
      </c>
      <c r="J133">
        <v>3996.53</v>
      </c>
      <c r="K133">
        <v>4392.12</v>
      </c>
      <c r="L133">
        <v>5496.01</v>
      </c>
      <c r="M133">
        <v>32630.47</v>
      </c>
      <c r="N133">
        <v>3411.44</v>
      </c>
    </row>
    <row r="135" spans="1:14" x14ac:dyDescent="0.3">
      <c r="A135" t="s">
        <v>317</v>
      </c>
      <c r="B135">
        <v>199404.42</v>
      </c>
      <c r="C135">
        <v>336717.95</v>
      </c>
      <c r="D135">
        <v>316681.78000000003</v>
      </c>
      <c r="E135">
        <v>290998.95</v>
      </c>
      <c r="F135">
        <v>381525.55</v>
      </c>
      <c r="G135">
        <v>382711.81</v>
      </c>
      <c r="H135">
        <v>530731.43000000005</v>
      </c>
      <c r="I135">
        <v>584626.65</v>
      </c>
      <c r="J135">
        <v>621802.44999999995</v>
      </c>
      <c r="K135">
        <v>658034.81999999995</v>
      </c>
      <c r="L135">
        <v>617132.36</v>
      </c>
      <c r="M135">
        <v>604373.17000000004</v>
      </c>
      <c r="N135">
        <v>726567.55</v>
      </c>
    </row>
    <row r="136" spans="1:14" x14ac:dyDescent="0.3">
      <c r="A136" t="s">
        <v>318</v>
      </c>
      <c r="B136">
        <v>191641.69</v>
      </c>
      <c r="C136">
        <v>328343.08</v>
      </c>
      <c r="D136">
        <v>306129.33</v>
      </c>
      <c r="E136">
        <v>280833.27</v>
      </c>
      <c r="F136">
        <v>5023.7</v>
      </c>
      <c r="G136">
        <v>6714.52</v>
      </c>
      <c r="H136">
        <v>494975.42</v>
      </c>
      <c r="I136">
        <v>526214.25</v>
      </c>
      <c r="J136">
        <v>5661.14</v>
      </c>
      <c r="K136">
        <v>6386.62</v>
      </c>
      <c r="L136">
        <v>539963.59</v>
      </c>
      <c r="M136">
        <v>532039.97</v>
      </c>
      <c r="N136">
        <v>657314.82999999996</v>
      </c>
    </row>
    <row r="137" spans="1:14" x14ac:dyDescent="0.3">
      <c r="A137" t="s">
        <v>319</v>
      </c>
      <c r="B137">
        <v>2476.9499999999998</v>
      </c>
      <c r="C137">
        <v>3305.41</v>
      </c>
      <c r="D137">
        <v>5066.67</v>
      </c>
      <c r="E137">
        <v>5040.74</v>
      </c>
      <c r="F137">
        <v>0</v>
      </c>
      <c r="G137">
        <v>0</v>
      </c>
      <c r="H137">
        <v>27936.13</v>
      </c>
      <c r="I137">
        <v>50667.12</v>
      </c>
      <c r="J137">
        <v>0</v>
      </c>
      <c r="K137">
        <v>0</v>
      </c>
      <c r="L137">
        <v>69713.149999999994</v>
      </c>
      <c r="M137">
        <v>62167.19</v>
      </c>
      <c r="N137">
        <v>62740.93</v>
      </c>
    </row>
    <row r="138" spans="1:14" x14ac:dyDescent="0.3">
      <c r="A138" t="s">
        <v>320</v>
      </c>
      <c r="B138">
        <v>5285.78</v>
      </c>
      <c r="C138">
        <v>5069.46</v>
      </c>
      <c r="D138">
        <v>5485.78</v>
      </c>
      <c r="E138">
        <v>5124.9399999999996</v>
      </c>
      <c r="F138">
        <v>372742.03</v>
      </c>
      <c r="G138">
        <v>368172.37</v>
      </c>
      <c r="H138">
        <v>7819.88</v>
      </c>
      <c r="I138">
        <v>7745.28</v>
      </c>
      <c r="J138">
        <v>565013.36</v>
      </c>
      <c r="K138">
        <v>580242.97</v>
      </c>
      <c r="L138">
        <v>7455.62</v>
      </c>
      <c r="M138">
        <v>10166.01</v>
      </c>
      <c r="N138">
        <v>6511.79</v>
      </c>
    </row>
    <row r="139" spans="1:14" x14ac:dyDescent="0.3">
      <c r="A139" t="s">
        <v>321</v>
      </c>
      <c r="B139" t="s">
        <v>54</v>
      </c>
      <c r="C139" t="s">
        <v>54</v>
      </c>
      <c r="D139" t="s">
        <v>54</v>
      </c>
      <c r="E139">
        <v>0</v>
      </c>
      <c r="F139">
        <v>3759.82</v>
      </c>
      <c r="G139">
        <v>7824.92</v>
      </c>
      <c r="H139" t="s">
        <v>55</v>
      </c>
      <c r="I139" t="s">
        <v>55</v>
      </c>
      <c r="J139">
        <v>51127.95</v>
      </c>
      <c r="K139">
        <v>71405.23</v>
      </c>
      <c r="L139">
        <v>0</v>
      </c>
      <c r="M139">
        <v>0</v>
      </c>
      <c r="N139">
        <v>0</v>
      </c>
    </row>
    <row r="140" spans="1:14" x14ac:dyDescent="0.3">
      <c r="A140" t="s">
        <v>135</v>
      </c>
      <c r="B140">
        <v>6926.4</v>
      </c>
      <c r="C140">
        <v>7314.54</v>
      </c>
      <c r="D140">
        <v>8283.51</v>
      </c>
      <c r="E140">
        <v>9364.83</v>
      </c>
      <c r="F140">
        <v>9620.36</v>
      </c>
      <c r="G140">
        <v>10084.719999999999</v>
      </c>
      <c r="H140">
        <v>11061.81</v>
      </c>
      <c r="I140">
        <v>12084.74</v>
      </c>
      <c r="J140">
        <v>15255.35</v>
      </c>
      <c r="K140">
        <v>13303.45</v>
      </c>
      <c r="L140">
        <v>15973.07</v>
      </c>
      <c r="M140">
        <v>16392.63</v>
      </c>
      <c r="N140">
        <v>16660.189999999999</v>
      </c>
    </row>
    <row r="141" spans="1:14" x14ac:dyDescent="0.3">
      <c r="A141" t="s">
        <v>322</v>
      </c>
      <c r="B141">
        <v>1575096.57</v>
      </c>
      <c r="C141">
        <v>1695136.79</v>
      </c>
      <c r="D141">
        <v>1779528.81</v>
      </c>
      <c r="E141">
        <v>1933018.06</v>
      </c>
      <c r="F141">
        <v>2140084.5299999998</v>
      </c>
      <c r="G141">
        <v>2261570.81</v>
      </c>
      <c r="H141">
        <v>2615319.67</v>
      </c>
      <c r="I141">
        <v>3314851.92</v>
      </c>
      <c r="J141">
        <v>3468188.81</v>
      </c>
      <c r="K141">
        <v>3783698.51</v>
      </c>
      <c r="L141">
        <v>3854082.21</v>
      </c>
      <c r="M141">
        <v>4096607.07</v>
      </c>
      <c r="N141">
        <v>4359702.41</v>
      </c>
    </row>
  </sheetData>
  <mergeCells count="1">
    <mergeCell ref="A1:N1"/>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B917-63FC-4D76-90E6-ABEB6F61E2B5}">
  <dimension ref="A1:N34"/>
  <sheetViews>
    <sheetView workbookViewId="0">
      <selection activeCell="C4" sqref="C4"/>
    </sheetView>
  </sheetViews>
  <sheetFormatPr defaultRowHeight="14.4" x14ac:dyDescent="0.3"/>
  <cols>
    <col min="1" max="1" width="51.109375" customWidth="1"/>
    <col min="2" max="2" width="14.77734375" customWidth="1"/>
    <col min="3" max="7" width="11.5546875" bestFit="1" customWidth="1"/>
    <col min="8" max="9" width="9" bestFit="1" customWidth="1"/>
    <col min="10" max="14" width="12.6640625" bestFit="1" customWidth="1"/>
  </cols>
  <sheetData>
    <row r="1" spans="1:14" ht="15.6" x14ac:dyDescent="0.3">
      <c r="A1" s="164" t="s">
        <v>233</v>
      </c>
      <c r="B1" s="164"/>
      <c r="C1" s="164"/>
      <c r="D1" s="164"/>
      <c r="E1" s="164"/>
      <c r="F1" s="164"/>
      <c r="G1" s="164"/>
      <c r="H1" s="164"/>
      <c r="I1" s="164"/>
      <c r="J1" s="164"/>
      <c r="K1" s="164"/>
      <c r="L1" s="164"/>
      <c r="M1" s="164"/>
      <c r="N1" s="164"/>
    </row>
    <row r="2" spans="1:14" ht="62.4" x14ac:dyDescent="0.3">
      <c r="A2" s="112" t="s">
        <v>234</v>
      </c>
      <c r="B2" s="85" t="s">
        <v>39</v>
      </c>
      <c r="C2" s="85" t="s">
        <v>40</v>
      </c>
      <c r="D2" s="85" t="s">
        <v>41</v>
      </c>
      <c r="E2" s="85" t="s">
        <v>42</v>
      </c>
      <c r="F2" s="85" t="s">
        <v>43</v>
      </c>
      <c r="G2" s="85" t="s">
        <v>44</v>
      </c>
      <c r="H2" s="85" t="s">
        <v>45</v>
      </c>
      <c r="I2" s="85" t="s">
        <v>46</v>
      </c>
      <c r="J2" s="85" t="s">
        <v>47</v>
      </c>
      <c r="K2" s="85" t="s">
        <v>48</v>
      </c>
      <c r="L2" s="85" t="s">
        <v>49</v>
      </c>
      <c r="M2" s="85" t="s">
        <v>50</v>
      </c>
      <c r="N2" s="85" t="s">
        <v>51</v>
      </c>
    </row>
    <row r="3" spans="1:14" ht="15.6" x14ac:dyDescent="0.3">
      <c r="A3" s="86" t="s">
        <v>208</v>
      </c>
      <c r="B3" s="84"/>
      <c r="C3" s="84"/>
      <c r="D3" s="84"/>
      <c r="E3" s="84"/>
      <c r="F3" s="84"/>
      <c r="G3" s="84"/>
      <c r="H3" s="84"/>
      <c r="I3" s="84"/>
      <c r="J3" s="84"/>
      <c r="K3" s="84"/>
      <c r="L3" s="87"/>
      <c r="M3" s="88"/>
      <c r="N3" s="84"/>
    </row>
    <row r="4" spans="1:14" ht="15.6" x14ac:dyDescent="0.3">
      <c r="A4" s="88" t="s">
        <v>209</v>
      </c>
      <c r="B4" s="84"/>
      <c r="C4" s="84"/>
      <c r="D4" s="84"/>
      <c r="E4" s="89"/>
      <c r="F4" s="84"/>
      <c r="G4" s="84"/>
      <c r="H4" s="84"/>
      <c r="I4" s="84"/>
      <c r="J4" s="84"/>
      <c r="K4" s="84"/>
      <c r="L4" s="90"/>
      <c r="M4" s="88"/>
      <c r="N4" s="84"/>
    </row>
    <row r="5" spans="1:14" ht="15.6" x14ac:dyDescent="0.3">
      <c r="A5" s="84" t="s">
        <v>210</v>
      </c>
      <c r="B5" s="91">
        <v>0</v>
      </c>
      <c r="C5" s="92" t="s">
        <v>54</v>
      </c>
      <c r="D5" s="93" t="s">
        <v>55</v>
      </c>
      <c r="E5" s="89">
        <v>1011518.5</v>
      </c>
      <c r="F5" s="94">
        <v>100000</v>
      </c>
      <c r="G5" s="94">
        <v>0</v>
      </c>
      <c r="H5" s="94">
        <v>0</v>
      </c>
      <c r="I5" s="94">
        <v>0</v>
      </c>
      <c r="J5" s="94">
        <v>0</v>
      </c>
      <c r="K5" s="94">
        <v>0</v>
      </c>
      <c r="L5" s="94">
        <v>0</v>
      </c>
      <c r="M5" s="94">
        <v>0</v>
      </c>
      <c r="N5" s="94">
        <v>0</v>
      </c>
    </row>
    <row r="6" spans="1:14" ht="15.6" x14ac:dyDescent="0.3">
      <c r="A6" s="84" t="s">
        <v>211</v>
      </c>
      <c r="B6" s="84">
        <v>13659.53</v>
      </c>
      <c r="C6" s="92">
        <v>33528.31</v>
      </c>
      <c r="D6" s="95">
        <v>54237.47</v>
      </c>
      <c r="E6" s="89">
        <v>72439.14</v>
      </c>
      <c r="F6" s="94">
        <v>108661</v>
      </c>
      <c r="G6" s="94">
        <v>138533</v>
      </c>
      <c r="H6" s="96">
        <v>262413.32</v>
      </c>
      <c r="I6" s="96">
        <v>526234.99</v>
      </c>
      <c r="J6" s="94">
        <v>638017.49</v>
      </c>
      <c r="K6" s="97">
        <v>533539.68999999994</v>
      </c>
      <c r="L6" s="98">
        <v>684136.52</v>
      </c>
      <c r="M6" s="98">
        <v>752355.9</v>
      </c>
      <c r="N6" s="98">
        <v>622891.5</v>
      </c>
    </row>
    <row r="7" spans="1:14" ht="15.6" x14ac:dyDescent="0.3">
      <c r="A7" s="84" t="s">
        <v>212</v>
      </c>
      <c r="B7" s="84">
        <v>563674.67000000004</v>
      </c>
      <c r="C7" s="92">
        <v>592000</v>
      </c>
      <c r="D7" s="95">
        <v>585000</v>
      </c>
      <c r="E7" s="89">
        <v>583045</v>
      </c>
      <c r="F7" s="94">
        <v>588000</v>
      </c>
      <c r="G7" s="94">
        <v>571000</v>
      </c>
      <c r="H7" s="96">
        <v>710000</v>
      </c>
      <c r="I7" s="96">
        <v>1260115.73</v>
      </c>
      <c r="J7" s="94">
        <v>968381.54</v>
      </c>
      <c r="K7" s="97">
        <v>1421000</v>
      </c>
      <c r="L7" s="98">
        <v>1543000</v>
      </c>
      <c r="M7" s="98">
        <v>1400697.4</v>
      </c>
      <c r="N7" s="98">
        <v>1482000</v>
      </c>
    </row>
    <row r="8" spans="1:14" ht="15.6" x14ac:dyDescent="0.3">
      <c r="A8" s="84" t="s">
        <v>213</v>
      </c>
      <c r="B8" s="99">
        <v>31472.28</v>
      </c>
      <c r="C8" s="92">
        <v>37373.75</v>
      </c>
      <c r="D8" s="95">
        <v>38300.03</v>
      </c>
      <c r="E8" s="100" t="s">
        <v>55</v>
      </c>
      <c r="F8" s="94">
        <v>59158.98</v>
      </c>
      <c r="G8" s="94">
        <v>28591.26</v>
      </c>
      <c r="H8" s="96">
        <v>164821.53</v>
      </c>
      <c r="I8" s="96">
        <v>157042.44</v>
      </c>
      <c r="J8" s="94">
        <v>196894.07999999999</v>
      </c>
      <c r="K8" s="97">
        <v>103065.72</v>
      </c>
      <c r="L8" s="98">
        <v>100289.87</v>
      </c>
      <c r="M8" s="98">
        <v>146793.65</v>
      </c>
      <c r="N8" s="98">
        <v>250000</v>
      </c>
    </row>
    <row r="9" spans="1:14" ht="15.6" x14ac:dyDescent="0.3">
      <c r="A9" s="84" t="s">
        <v>214</v>
      </c>
      <c r="B9" s="99">
        <v>2151859.5299999998</v>
      </c>
      <c r="C9" s="92">
        <v>2216124.48</v>
      </c>
      <c r="D9" s="95">
        <v>2449918.9700000002</v>
      </c>
      <c r="E9" s="89">
        <v>3216118.41</v>
      </c>
      <c r="F9" s="94">
        <v>3790637.92</v>
      </c>
      <c r="G9" s="94">
        <v>3570681.38</v>
      </c>
      <c r="H9" s="96">
        <v>3355188.43</v>
      </c>
      <c r="I9" s="96">
        <v>3745789.93</v>
      </c>
      <c r="J9" s="94">
        <v>4432508.1399999997</v>
      </c>
      <c r="K9" s="97">
        <v>4868275.3</v>
      </c>
      <c r="L9" s="98">
        <v>4838804.58</v>
      </c>
      <c r="M9" s="98">
        <v>5719741.7599999998</v>
      </c>
      <c r="N9" s="98">
        <v>6030452.6500000004</v>
      </c>
    </row>
    <row r="10" spans="1:14" ht="15.6" x14ac:dyDescent="0.3">
      <c r="A10" s="84" t="s">
        <v>215</v>
      </c>
      <c r="B10" s="99">
        <v>580087.59</v>
      </c>
      <c r="C10" s="92">
        <v>670312.98</v>
      </c>
      <c r="D10" s="95">
        <v>686666.71</v>
      </c>
      <c r="E10" s="89">
        <v>664567.49</v>
      </c>
      <c r="F10" s="94">
        <v>774059.95</v>
      </c>
      <c r="G10" s="94">
        <v>660165.24</v>
      </c>
      <c r="H10" s="96">
        <v>639472.68000000005</v>
      </c>
      <c r="I10" s="96">
        <v>743488.03</v>
      </c>
      <c r="J10" s="94">
        <v>847904.18</v>
      </c>
      <c r="K10" s="97">
        <v>715950.53</v>
      </c>
      <c r="L10" s="98">
        <v>644427.47</v>
      </c>
      <c r="M10" s="98">
        <v>747644.75</v>
      </c>
      <c r="N10" s="98">
        <v>606191.25</v>
      </c>
    </row>
    <row r="11" spans="1:14" ht="15.6" x14ac:dyDescent="0.3">
      <c r="A11" s="84" t="s">
        <v>216</v>
      </c>
      <c r="B11" s="99">
        <v>137520.26</v>
      </c>
      <c r="C11" s="92">
        <v>147608.18</v>
      </c>
      <c r="D11" s="95">
        <v>162188.60999999999</v>
      </c>
      <c r="E11" s="89">
        <v>174035.07</v>
      </c>
      <c r="F11" s="94">
        <v>185416.61</v>
      </c>
      <c r="G11" s="94">
        <v>258020.06</v>
      </c>
      <c r="H11" s="96">
        <v>321689.3</v>
      </c>
      <c r="I11" s="96">
        <v>488606.87</v>
      </c>
      <c r="J11" s="94">
        <v>465678.81</v>
      </c>
      <c r="K11" s="97">
        <v>549240.87</v>
      </c>
      <c r="L11" s="98">
        <v>571191.61</v>
      </c>
      <c r="M11" s="98">
        <v>394007.06</v>
      </c>
      <c r="N11" s="98">
        <v>484082.34</v>
      </c>
    </row>
    <row r="12" spans="1:14" ht="15.6" x14ac:dyDescent="0.3">
      <c r="A12" s="84" t="s">
        <v>217</v>
      </c>
      <c r="B12" s="99">
        <v>136956.26</v>
      </c>
      <c r="C12" s="92">
        <v>149200.68</v>
      </c>
      <c r="D12" s="95">
        <v>154033.20000000001</v>
      </c>
      <c r="E12" s="89">
        <v>142525.75</v>
      </c>
      <c r="F12" s="94">
        <v>159685</v>
      </c>
      <c r="G12" s="94">
        <v>208896</v>
      </c>
      <c r="H12" s="96">
        <v>217670</v>
      </c>
      <c r="I12" s="96">
        <v>458240</v>
      </c>
      <c r="J12" s="94">
        <v>407796.43</v>
      </c>
      <c r="K12" s="97">
        <v>445283.5</v>
      </c>
      <c r="L12" s="98">
        <v>457486.99</v>
      </c>
      <c r="M12" s="98">
        <v>360809.92</v>
      </c>
      <c r="N12" s="98">
        <v>360809.92</v>
      </c>
    </row>
    <row r="13" spans="1:14" ht="15.6" x14ac:dyDescent="0.3">
      <c r="A13" s="84" t="s">
        <v>146</v>
      </c>
      <c r="B13" s="99">
        <v>242425</v>
      </c>
      <c r="C13" s="92">
        <v>316116</v>
      </c>
      <c r="D13" s="95" t="s">
        <v>54</v>
      </c>
      <c r="E13" s="89">
        <v>0</v>
      </c>
      <c r="F13" s="94">
        <v>150000</v>
      </c>
      <c r="G13" s="94">
        <v>190000</v>
      </c>
      <c r="H13" s="96">
        <v>300000</v>
      </c>
      <c r="I13" s="96">
        <v>80000</v>
      </c>
      <c r="J13" s="94">
        <v>0</v>
      </c>
      <c r="K13" s="97">
        <v>0</v>
      </c>
      <c r="L13" s="98">
        <v>0</v>
      </c>
      <c r="M13" s="98">
        <v>0</v>
      </c>
      <c r="N13" s="98">
        <v>50000</v>
      </c>
    </row>
    <row r="14" spans="1:14" ht="15.6" x14ac:dyDescent="0.3">
      <c r="A14" s="84" t="s">
        <v>218</v>
      </c>
      <c r="B14" s="99">
        <v>107195</v>
      </c>
      <c r="C14" s="92">
        <v>10000</v>
      </c>
      <c r="D14" s="95">
        <v>83843</v>
      </c>
      <c r="E14" s="89">
        <v>163489</v>
      </c>
      <c r="F14" s="94">
        <v>480042</v>
      </c>
      <c r="G14" s="94">
        <v>955243</v>
      </c>
      <c r="H14" s="96">
        <v>1179582</v>
      </c>
      <c r="I14" s="96">
        <v>398990</v>
      </c>
      <c r="J14" s="94">
        <v>0</v>
      </c>
      <c r="K14" s="97">
        <v>106273</v>
      </c>
      <c r="L14" s="98">
        <v>150636</v>
      </c>
      <c r="M14" s="98">
        <v>55000</v>
      </c>
      <c r="N14" s="98">
        <v>500000</v>
      </c>
    </row>
    <row r="15" spans="1:14" ht="15.6" x14ac:dyDescent="0.3">
      <c r="A15" s="84" t="s">
        <v>219</v>
      </c>
      <c r="B15" s="91">
        <v>0</v>
      </c>
      <c r="C15" s="96" t="s">
        <v>55</v>
      </c>
      <c r="D15" s="96" t="s">
        <v>55</v>
      </c>
      <c r="E15" s="96" t="s">
        <v>55</v>
      </c>
      <c r="F15" s="94">
        <v>0</v>
      </c>
      <c r="G15" s="94">
        <v>4500</v>
      </c>
      <c r="H15" s="96">
        <v>550</v>
      </c>
      <c r="I15" s="94">
        <v>0</v>
      </c>
      <c r="J15" s="94">
        <v>0</v>
      </c>
      <c r="K15" s="94">
        <v>0</v>
      </c>
      <c r="L15" s="94">
        <v>0</v>
      </c>
      <c r="M15" s="94">
        <v>0</v>
      </c>
      <c r="N15" s="94">
        <v>0</v>
      </c>
    </row>
    <row r="16" spans="1:14" ht="15.6" x14ac:dyDescent="0.3">
      <c r="A16" s="101" t="s">
        <v>220</v>
      </c>
      <c r="B16" s="91">
        <v>0</v>
      </c>
      <c r="C16" s="96" t="s">
        <v>55</v>
      </c>
      <c r="D16" s="96" t="s">
        <v>55</v>
      </c>
      <c r="E16" s="96" t="s">
        <v>55</v>
      </c>
      <c r="F16" s="94">
        <v>0</v>
      </c>
      <c r="G16" s="96" t="s">
        <v>55</v>
      </c>
      <c r="H16" s="96" t="s">
        <v>55</v>
      </c>
      <c r="I16" s="96" t="s">
        <v>55</v>
      </c>
      <c r="J16" s="94">
        <v>159000</v>
      </c>
      <c r="K16" s="97" t="s">
        <v>55</v>
      </c>
      <c r="L16" s="98" t="s">
        <v>55</v>
      </c>
      <c r="M16" s="98" t="s">
        <v>55</v>
      </c>
      <c r="N16" s="98" t="s">
        <v>55</v>
      </c>
    </row>
    <row r="17" spans="1:14" ht="15.6" x14ac:dyDescent="0.3">
      <c r="A17" s="84" t="s">
        <v>221</v>
      </c>
      <c r="B17" s="91">
        <v>0</v>
      </c>
      <c r="C17" s="96" t="s">
        <v>55</v>
      </c>
      <c r="D17" s="96" t="s">
        <v>55</v>
      </c>
      <c r="E17" s="96" t="s">
        <v>55</v>
      </c>
      <c r="F17" s="94">
        <v>80000</v>
      </c>
      <c r="G17" s="94">
        <v>106000</v>
      </c>
      <c r="H17" s="96">
        <v>65443</v>
      </c>
      <c r="I17" s="96">
        <v>20000</v>
      </c>
      <c r="J17" s="94">
        <v>4600</v>
      </c>
      <c r="K17" s="102">
        <v>0</v>
      </c>
      <c r="L17" s="98">
        <v>0</v>
      </c>
      <c r="M17" s="98">
        <v>0</v>
      </c>
      <c r="N17" s="98">
        <v>0.01</v>
      </c>
    </row>
    <row r="18" spans="1:14" ht="15.6" x14ac:dyDescent="0.3">
      <c r="A18" s="84" t="s">
        <v>56</v>
      </c>
      <c r="B18" s="91">
        <v>0</v>
      </c>
      <c r="C18" s="103" t="s">
        <v>55</v>
      </c>
      <c r="D18" s="103" t="s">
        <v>55</v>
      </c>
      <c r="E18" s="103" t="s">
        <v>55</v>
      </c>
      <c r="F18" s="103" t="s">
        <v>55</v>
      </c>
      <c r="G18" s="103" t="s">
        <v>55</v>
      </c>
      <c r="H18" s="103" t="s">
        <v>55</v>
      </c>
      <c r="I18" s="103" t="s">
        <v>55</v>
      </c>
      <c r="J18" s="103" t="s">
        <v>55</v>
      </c>
      <c r="K18" s="103" t="s">
        <v>55</v>
      </c>
      <c r="L18" s="103" t="s">
        <v>55</v>
      </c>
      <c r="M18" s="103" t="s">
        <v>55</v>
      </c>
      <c r="N18" s="103" t="s">
        <v>55</v>
      </c>
    </row>
    <row r="19" spans="1:14" ht="15.6" x14ac:dyDescent="0.3">
      <c r="A19" s="84" t="s">
        <v>155</v>
      </c>
      <c r="B19" s="99">
        <v>4699.87</v>
      </c>
      <c r="C19" s="92">
        <v>12398.03</v>
      </c>
      <c r="D19" s="95">
        <v>66708.009999999995</v>
      </c>
      <c r="E19" s="89">
        <v>20581.63</v>
      </c>
      <c r="F19" s="94">
        <v>29823.37</v>
      </c>
      <c r="G19" s="94">
        <v>16243.02</v>
      </c>
      <c r="H19" s="96">
        <v>11521.84</v>
      </c>
      <c r="I19" s="96">
        <v>46256.4</v>
      </c>
      <c r="J19" s="94">
        <v>41706.410000000003</v>
      </c>
      <c r="K19" s="97">
        <v>28532.71</v>
      </c>
      <c r="L19" s="98">
        <v>49647.64</v>
      </c>
      <c r="M19" s="98">
        <v>8903.4699999999993</v>
      </c>
      <c r="N19" s="98">
        <v>68907.73</v>
      </c>
    </row>
    <row r="20" spans="1:14" ht="15.6" x14ac:dyDescent="0.3">
      <c r="A20" s="88" t="s">
        <v>156</v>
      </c>
      <c r="B20" s="104">
        <v>3969549.99</v>
      </c>
      <c r="C20" s="105">
        <v>4184662.41</v>
      </c>
      <c r="D20" s="106">
        <v>4280896</v>
      </c>
      <c r="E20" s="107">
        <v>6089945.0999999996</v>
      </c>
      <c r="F20" s="108">
        <v>6505484.8300000001</v>
      </c>
      <c r="G20" s="108">
        <v>6707872.96</v>
      </c>
      <c r="H20" s="109">
        <v>7238206.7000000002</v>
      </c>
      <c r="I20" s="109">
        <v>8038972.3899999997</v>
      </c>
      <c r="J20" s="108">
        <v>8162487.0800000001</v>
      </c>
      <c r="K20" s="108">
        <v>8771161.3200000003</v>
      </c>
      <c r="L20" s="107">
        <v>9039620.6799999997</v>
      </c>
      <c r="M20" s="107">
        <v>9585953.9100000001</v>
      </c>
      <c r="N20" s="107">
        <v>10455335.4</v>
      </c>
    </row>
    <row r="21" spans="1:14" ht="15.6" x14ac:dyDescent="0.3">
      <c r="A21" s="84" t="s">
        <v>222</v>
      </c>
      <c r="B21" s="99">
        <v>25416.23</v>
      </c>
      <c r="C21" s="92">
        <v>33533.89</v>
      </c>
      <c r="D21" s="95">
        <v>36053.72</v>
      </c>
      <c r="E21" s="89">
        <v>44191.49</v>
      </c>
      <c r="F21" s="94">
        <v>48516.74</v>
      </c>
      <c r="G21" s="94">
        <v>50609.440000000002</v>
      </c>
      <c r="H21" s="96">
        <v>63180.3</v>
      </c>
      <c r="I21" s="96">
        <v>123937.57</v>
      </c>
      <c r="J21" s="94">
        <v>86664.57</v>
      </c>
      <c r="K21" s="97">
        <v>93731.28</v>
      </c>
      <c r="L21" s="98">
        <v>120429.2</v>
      </c>
      <c r="M21" s="98">
        <v>107711.53</v>
      </c>
      <c r="N21" s="98">
        <v>111013.36</v>
      </c>
    </row>
    <row r="22" spans="1:14" ht="15.6" x14ac:dyDescent="0.3">
      <c r="A22" s="88" t="s">
        <v>158</v>
      </c>
      <c r="B22" s="104">
        <v>3994966.22</v>
      </c>
      <c r="C22" s="105">
        <v>4218196.3</v>
      </c>
      <c r="D22" s="106">
        <v>4316949.72</v>
      </c>
      <c r="E22" s="107">
        <v>6134136.5899999999</v>
      </c>
      <c r="F22" s="108">
        <v>6554001.5700000003</v>
      </c>
      <c r="G22" s="108">
        <v>6758482.4000000004</v>
      </c>
      <c r="H22" s="109">
        <v>7301387</v>
      </c>
      <c r="I22" s="109">
        <v>8162909.96</v>
      </c>
      <c r="J22" s="108">
        <v>8249151.6500000004</v>
      </c>
      <c r="K22" s="108">
        <v>8864892.5999999996</v>
      </c>
      <c r="L22" s="107">
        <v>9160049.8800000008</v>
      </c>
      <c r="M22" s="107">
        <v>9693665.4399999995</v>
      </c>
      <c r="N22" s="107">
        <v>10566348.76</v>
      </c>
    </row>
    <row r="23" spans="1:14" ht="15.6" x14ac:dyDescent="0.3">
      <c r="A23" s="84"/>
      <c r="B23" s="84"/>
      <c r="C23" s="84"/>
      <c r="D23" s="84"/>
      <c r="E23" s="84"/>
      <c r="F23" s="84"/>
      <c r="G23" s="84"/>
      <c r="H23" s="84"/>
      <c r="I23" s="84"/>
      <c r="J23" s="108"/>
      <c r="K23" s="84"/>
      <c r="L23" s="84"/>
      <c r="M23" s="88"/>
      <c r="N23" s="84"/>
    </row>
    <row r="24" spans="1:14" ht="15.6" x14ac:dyDescent="0.3">
      <c r="A24" s="86" t="s">
        <v>223</v>
      </c>
      <c r="B24" s="84"/>
      <c r="C24" s="84"/>
      <c r="D24" s="84"/>
      <c r="E24" s="84"/>
      <c r="F24" s="84"/>
      <c r="G24" s="84"/>
      <c r="H24" s="84"/>
      <c r="I24" s="84"/>
      <c r="J24" s="84"/>
      <c r="K24" s="84"/>
      <c r="L24" s="84"/>
      <c r="M24" s="88"/>
      <c r="N24" s="84"/>
    </row>
    <row r="25" spans="1:14" ht="15.6" x14ac:dyDescent="0.3">
      <c r="A25" s="84" t="s">
        <v>224</v>
      </c>
      <c r="B25" s="99">
        <v>10007.6</v>
      </c>
      <c r="C25" s="92">
        <v>10582.32</v>
      </c>
      <c r="D25" s="95">
        <v>11453.53</v>
      </c>
      <c r="E25" s="89">
        <v>12522.85</v>
      </c>
      <c r="F25" s="94">
        <v>13057.3</v>
      </c>
      <c r="G25" s="94">
        <v>14366.77</v>
      </c>
      <c r="H25" s="96">
        <v>15550.89</v>
      </c>
      <c r="I25" s="96">
        <v>16063.28</v>
      </c>
      <c r="J25" s="94">
        <v>17491.18</v>
      </c>
      <c r="K25" s="97">
        <v>19890.689999999999</v>
      </c>
      <c r="L25" s="98">
        <v>92856.68</v>
      </c>
      <c r="M25" s="98">
        <v>135595.97</v>
      </c>
      <c r="N25" s="98">
        <v>84847.61</v>
      </c>
    </row>
    <row r="26" spans="1:14" ht="15.6" x14ac:dyDescent="0.3">
      <c r="A26" s="84" t="s">
        <v>225</v>
      </c>
      <c r="B26" s="99">
        <v>111.66</v>
      </c>
      <c r="C26" s="92">
        <v>75.33</v>
      </c>
      <c r="D26" s="95">
        <v>59.4</v>
      </c>
      <c r="E26" s="89">
        <v>54.86</v>
      </c>
      <c r="F26" s="94">
        <v>66.81</v>
      </c>
      <c r="G26" s="94">
        <v>72</v>
      </c>
      <c r="H26" s="96">
        <v>72</v>
      </c>
      <c r="I26" s="96">
        <v>43.71</v>
      </c>
      <c r="J26" s="94">
        <v>77.489999999999995</v>
      </c>
      <c r="K26" s="97">
        <v>141.57</v>
      </c>
      <c r="L26" s="98">
        <v>6215</v>
      </c>
      <c r="M26" s="98">
        <v>8513.2099999999991</v>
      </c>
      <c r="N26" s="98">
        <v>4381.47</v>
      </c>
    </row>
    <row r="27" spans="1:14" ht="15.6" x14ac:dyDescent="0.3">
      <c r="A27" s="84" t="s">
        <v>226</v>
      </c>
      <c r="B27" s="99">
        <v>344.1</v>
      </c>
      <c r="C27" s="92">
        <v>722.05</v>
      </c>
      <c r="D27" s="95">
        <v>416.83</v>
      </c>
      <c r="E27" s="89">
        <v>396.01</v>
      </c>
      <c r="F27" s="94">
        <v>353.73</v>
      </c>
      <c r="G27" s="94">
        <v>369.77</v>
      </c>
      <c r="H27" s="96">
        <v>132.76</v>
      </c>
      <c r="I27" s="96">
        <v>310.72000000000003</v>
      </c>
      <c r="J27" s="94">
        <v>437.82</v>
      </c>
      <c r="K27" s="97">
        <v>-129.41999999999999</v>
      </c>
      <c r="L27" s="98">
        <v>231.41</v>
      </c>
      <c r="M27" s="98">
        <v>206.53</v>
      </c>
      <c r="N27" s="98">
        <v>206.53</v>
      </c>
    </row>
    <row r="28" spans="1:14" ht="15.6" x14ac:dyDescent="0.3">
      <c r="A28" s="84" t="s">
        <v>227</v>
      </c>
      <c r="B28" s="99">
        <v>14085.64</v>
      </c>
      <c r="C28" s="92">
        <v>15167</v>
      </c>
      <c r="D28" s="95">
        <v>29940.04</v>
      </c>
      <c r="E28" s="89">
        <v>27997.38</v>
      </c>
      <c r="F28" s="94">
        <v>57161.32</v>
      </c>
      <c r="G28" s="94">
        <v>15448.4</v>
      </c>
      <c r="H28" s="96">
        <v>2891.53</v>
      </c>
      <c r="I28" s="96">
        <v>13505.45</v>
      </c>
      <c r="J28" s="94">
        <v>6941.61</v>
      </c>
      <c r="K28" s="97">
        <v>16369.81</v>
      </c>
      <c r="L28" s="98">
        <v>17670.53</v>
      </c>
      <c r="M28" s="98">
        <v>55538.3</v>
      </c>
      <c r="N28" s="98">
        <v>57314.400000000001</v>
      </c>
    </row>
    <row r="29" spans="1:14" ht="15.6" x14ac:dyDescent="0.3">
      <c r="A29" s="88" t="s">
        <v>228</v>
      </c>
      <c r="B29" s="104">
        <v>24549</v>
      </c>
      <c r="C29" s="105">
        <v>26546.7</v>
      </c>
      <c r="D29" s="106">
        <v>41869.800000000003</v>
      </c>
      <c r="E29" s="107">
        <v>40971.1</v>
      </c>
      <c r="F29" s="108">
        <v>70639.16</v>
      </c>
      <c r="G29" s="108">
        <v>30256.94</v>
      </c>
      <c r="H29" s="109">
        <v>18647.18</v>
      </c>
      <c r="I29" s="109">
        <v>29923.16</v>
      </c>
      <c r="J29" s="108">
        <v>24948.1</v>
      </c>
      <c r="K29" s="108">
        <v>36272.65</v>
      </c>
      <c r="L29" s="107">
        <v>116973.62</v>
      </c>
      <c r="M29" s="107">
        <v>199854.01</v>
      </c>
      <c r="N29" s="107">
        <v>146750.01</v>
      </c>
    </row>
    <row r="30" spans="1:14" ht="15.6" x14ac:dyDescent="0.3">
      <c r="A30" s="84"/>
      <c r="B30" s="84"/>
      <c r="C30" s="84"/>
      <c r="D30" s="84"/>
      <c r="E30" s="84"/>
      <c r="F30" s="110"/>
      <c r="G30" s="110"/>
      <c r="H30" s="84"/>
      <c r="I30" s="84"/>
      <c r="J30" s="84"/>
      <c r="K30" s="84"/>
      <c r="L30" s="84"/>
      <c r="M30" s="88"/>
      <c r="N30" s="84"/>
    </row>
    <row r="31" spans="1:14" ht="15.6" x14ac:dyDescent="0.3">
      <c r="A31" s="86" t="s">
        <v>229</v>
      </c>
      <c r="B31" s="104">
        <v>29367.89</v>
      </c>
      <c r="C31" s="105">
        <v>37739.85</v>
      </c>
      <c r="D31" s="106">
        <v>42131.69</v>
      </c>
      <c r="E31" s="111">
        <v>47742.55</v>
      </c>
      <c r="F31" s="110">
        <v>100048.45</v>
      </c>
      <c r="G31" s="110">
        <v>94979.05</v>
      </c>
      <c r="H31" s="109">
        <v>50349.29</v>
      </c>
      <c r="I31" s="109">
        <v>37896.959999999999</v>
      </c>
      <c r="J31" s="110">
        <v>14638.22</v>
      </c>
      <c r="K31" s="110">
        <v>46034.89</v>
      </c>
      <c r="L31" s="111">
        <v>45280.68</v>
      </c>
      <c r="M31" s="111">
        <v>36012.43</v>
      </c>
      <c r="N31" s="107">
        <v>47000</v>
      </c>
    </row>
    <row r="32" spans="1:14" ht="15.6" x14ac:dyDescent="0.3">
      <c r="A32" s="88" t="s">
        <v>230</v>
      </c>
      <c r="B32" s="104">
        <v>4048883.11</v>
      </c>
      <c r="C32" s="105">
        <v>4282482.8499999996</v>
      </c>
      <c r="D32" s="106">
        <v>4400951.21</v>
      </c>
      <c r="E32" s="111">
        <v>6222850.2400000002</v>
      </c>
      <c r="F32" s="110">
        <v>6724689.1799999997</v>
      </c>
      <c r="G32" s="110">
        <v>6883718.3899999997</v>
      </c>
      <c r="H32" s="109">
        <v>7370383.4699999997</v>
      </c>
      <c r="I32" s="109">
        <v>8230730.0800000001</v>
      </c>
      <c r="J32" s="110">
        <v>8288737.9699999997</v>
      </c>
      <c r="K32" s="110">
        <v>8947200.1400000006</v>
      </c>
      <c r="L32" s="111">
        <v>9322304.1799999997</v>
      </c>
      <c r="M32" s="111">
        <v>9929531.8800000008</v>
      </c>
      <c r="N32" s="107">
        <v>10760098.77</v>
      </c>
    </row>
    <row r="33" spans="1:14" ht="15.6" x14ac:dyDescent="0.3">
      <c r="A33" s="88" t="s">
        <v>231</v>
      </c>
      <c r="B33" s="104">
        <v>1217798.79</v>
      </c>
      <c r="C33" s="105">
        <v>1328908.96</v>
      </c>
      <c r="D33" s="106">
        <v>1436160.22</v>
      </c>
      <c r="E33" s="111">
        <v>1615987.98</v>
      </c>
      <c r="F33" s="110">
        <v>1691143.1</v>
      </c>
      <c r="G33" s="110">
        <v>1806462.91</v>
      </c>
      <c r="H33" s="109">
        <v>1948083.53</v>
      </c>
      <c r="I33" s="109">
        <v>1864513.47</v>
      </c>
      <c r="J33" s="110">
        <v>2436421.48</v>
      </c>
      <c r="K33" s="110">
        <v>2713267.2</v>
      </c>
      <c r="L33" s="111">
        <v>3088174.64</v>
      </c>
      <c r="M33" s="111">
        <v>3485869.29</v>
      </c>
      <c r="N33" s="107">
        <v>3835268.52</v>
      </c>
    </row>
    <row r="34" spans="1:14" ht="15.6" x14ac:dyDescent="0.3">
      <c r="A34" s="88" t="s">
        <v>232</v>
      </c>
      <c r="B34" s="104">
        <v>5266681.9000000004</v>
      </c>
      <c r="C34" s="105">
        <v>5611391.8099999996</v>
      </c>
      <c r="D34" s="106">
        <v>5837111.4299999997</v>
      </c>
      <c r="E34" s="111">
        <v>8446838.5299999993</v>
      </c>
      <c r="F34" s="110">
        <v>8415832.2799999993</v>
      </c>
      <c r="G34" s="110">
        <v>8690181.3000000007</v>
      </c>
      <c r="H34" s="109">
        <v>9318467</v>
      </c>
      <c r="I34" s="109">
        <v>10095243.550000001</v>
      </c>
      <c r="J34" s="110">
        <v>10725159.449999999</v>
      </c>
      <c r="K34" s="110">
        <v>11660467.34</v>
      </c>
      <c r="L34" s="111">
        <v>12410478.82</v>
      </c>
      <c r="M34" s="111">
        <v>13415401.17</v>
      </c>
      <c r="N34" s="107">
        <v>14595367.289999999</v>
      </c>
    </row>
  </sheetData>
  <mergeCells count="1">
    <mergeCell ref="A1:N1"/>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79CF8-A62D-4F33-88B4-D2BA43F16613}">
  <dimension ref="A1:N158"/>
  <sheetViews>
    <sheetView topLeftCell="A14" zoomScale="72" workbookViewId="0">
      <selection activeCell="C14" sqref="C14"/>
    </sheetView>
  </sheetViews>
  <sheetFormatPr defaultRowHeight="14.4" x14ac:dyDescent="0.3"/>
  <cols>
    <col min="1" max="1" width="64.33203125" customWidth="1"/>
    <col min="2" max="2" width="19.33203125" customWidth="1"/>
    <col min="3" max="3" width="13.109375" customWidth="1"/>
    <col min="4" max="4" width="14" customWidth="1"/>
    <col min="5" max="5" width="15.44140625" customWidth="1"/>
    <col min="6" max="6" width="17.21875" customWidth="1"/>
    <col min="7" max="7" width="15.5546875" customWidth="1"/>
    <col min="8" max="8" width="15" customWidth="1"/>
    <col min="9" max="9" width="15.109375" customWidth="1"/>
    <col min="10" max="10" width="18.21875" customWidth="1"/>
    <col min="11" max="11" width="14.21875" customWidth="1"/>
    <col min="12" max="12" width="18.109375" customWidth="1"/>
    <col min="13" max="13" width="12.88671875" customWidth="1"/>
    <col min="14" max="14" width="15.109375" customWidth="1"/>
  </cols>
  <sheetData>
    <row r="1" spans="1:14" ht="15.6" x14ac:dyDescent="0.3">
      <c r="A1" s="166" t="s">
        <v>38</v>
      </c>
      <c r="B1" s="166"/>
      <c r="C1" s="166"/>
      <c r="D1" s="166"/>
      <c r="E1" s="166"/>
      <c r="F1" s="166"/>
      <c r="G1" s="166"/>
      <c r="H1" s="166"/>
      <c r="I1" s="166"/>
      <c r="J1" s="166"/>
      <c r="K1" s="166"/>
      <c r="L1" s="166"/>
      <c r="M1" s="166"/>
      <c r="N1" s="166"/>
    </row>
    <row r="2" spans="1:14" ht="43.8" customHeight="1" x14ac:dyDescent="0.3">
      <c r="A2" s="113" t="s">
        <v>234</v>
      </c>
      <c r="B2" s="49" t="s">
        <v>39</v>
      </c>
      <c r="C2" s="50" t="s">
        <v>40</v>
      </c>
      <c r="D2" s="50" t="s">
        <v>41</v>
      </c>
      <c r="E2" s="50" t="s">
        <v>42</v>
      </c>
      <c r="F2" s="50" t="s">
        <v>43</v>
      </c>
      <c r="G2" s="50" t="s">
        <v>44</v>
      </c>
      <c r="H2" s="50" t="s">
        <v>45</v>
      </c>
      <c r="I2" s="50" t="s">
        <v>46</v>
      </c>
      <c r="J2" s="50" t="s">
        <v>47</v>
      </c>
      <c r="K2" s="50" t="s">
        <v>48</v>
      </c>
      <c r="L2" s="50" t="s">
        <v>49</v>
      </c>
      <c r="M2" s="50" t="s">
        <v>50</v>
      </c>
      <c r="N2" s="50" t="s">
        <v>51</v>
      </c>
    </row>
    <row r="3" spans="1:14" ht="15.6" x14ac:dyDescent="0.3">
      <c r="A3" s="51" t="s">
        <v>52</v>
      </c>
      <c r="B3" s="52">
        <v>87900.22</v>
      </c>
      <c r="C3" s="53">
        <v>89995.26</v>
      </c>
      <c r="D3" s="54">
        <v>91462.26</v>
      </c>
      <c r="E3" s="55">
        <v>99183.05</v>
      </c>
      <c r="F3" s="56">
        <v>106352.76</v>
      </c>
      <c r="G3" s="56">
        <v>112921.39</v>
      </c>
      <c r="H3" s="55">
        <v>124807.42</v>
      </c>
      <c r="I3" s="57">
        <v>142745.65</v>
      </c>
      <c r="J3" s="56">
        <v>153776.9</v>
      </c>
      <c r="K3" s="56">
        <v>161187.49</v>
      </c>
      <c r="L3" s="55">
        <v>177487.65</v>
      </c>
      <c r="M3" s="55">
        <v>182591.24</v>
      </c>
      <c r="N3" s="55">
        <v>209088.88</v>
      </c>
    </row>
    <row r="4" spans="1:14" ht="15.6" x14ac:dyDescent="0.3">
      <c r="A4" s="48" t="s">
        <v>53</v>
      </c>
      <c r="B4" s="58" t="s">
        <v>54</v>
      </c>
      <c r="C4" s="58" t="s">
        <v>54</v>
      </c>
      <c r="D4" s="59">
        <v>0</v>
      </c>
      <c r="E4" s="59">
        <v>0</v>
      </c>
      <c r="F4" s="60" t="s">
        <v>55</v>
      </c>
      <c r="G4" s="60" t="s">
        <v>55</v>
      </c>
      <c r="H4" s="60" t="s">
        <v>55</v>
      </c>
      <c r="I4" s="60" t="s">
        <v>55</v>
      </c>
      <c r="J4" s="60" t="s">
        <v>55</v>
      </c>
      <c r="K4" s="60">
        <v>0</v>
      </c>
      <c r="L4" s="59">
        <v>0</v>
      </c>
      <c r="M4" s="59">
        <v>142.29</v>
      </c>
      <c r="N4" s="59">
        <v>152.61000000000001</v>
      </c>
    </row>
    <row r="5" spans="1:14" ht="15.6" x14ac:dyDescent="0.3">
      <c r="A5" s="48" t="s">
        <v>56</v>
      </c>
      <c r="B5" s="58" t="s">
        <v>54</v>
      </c>
      <c r="C5" s="58" t="s">
        <v>54</v>
      </c>
      <c r="D5" s="59">
        <v>0</v>
      </c>
      <c r="E5" s="59">
        <v>0</v>
      </c>
      <c r="F5" s="60">
        <v>0</v>
      </c>
      <c r="G5" s="60">
        <v>186.27</v>
      </c>
      <c r="H5" s="59">
        <v>670.97</v>
      </c>
      <c r="I5" s="61">
        <v>-1081.5</v>
      </c>
      <c r="J5" s="60">
        <v>1267.4100000000001</v>
      </c>
      <c r="K5" s="60">
        <v>1321.31</v>
      </c>
      <c r="L5" s="59">
        <v>272.38</v>
      </c>
      <c r="M5" s="59">
        <v>0</v>
      </c>
      <c r="N5" s="59">
        <v>0</v>
      </c>
    </row>
    <row r="6" spans="1:14" ht="15.6" x14ac:dyDescent="0.3">
      <c r="A6" s="48" t="s">
        <v>57</v>
      </c>
      <c r="B6" s="62">
        <v>1085.01</v>
      </c>
      <c r="C6" s="58">
        <v>1160.3699999999999</v>
      </c>
      <c r="D6" s="63">
        <v>1558.76</v>
      </c>
      <c r="E6" s="59">
        <v>2538.0500000000002</v>
      </c>
      <c r="F6" s="60">
        <v>2232.3000000000002</v>
      </c>
      <c r="G6" s="60">
        <v>2336.54</v>
      </c>
      <c r="H6" s="59">
        <v>2588.4499999999998</v>
      </c>
      <c r="I6" s="61">
        <v>2508.71</v>
      </c>
      <c r="J6" s="60">
        <v>3258.93</v>
      </c>
      <c r="K6" s="60">
        <v>3305.58</v>
      </c>
      <c r="L6" s="59">
        <v>4969.7700000000004</v>
      </c>
      <c r="M6" s="59">
        <v>5825.53</v>
      </c>
      <c r="N6" s="59">
        <v>6348.1</v>
      </c>
    </row>
    <row r="7" spans="1:14" ht="15.6" x14ac:dyDescent="0.3">
      <c r="A7" s="48" t="s">
        <v>58</v>
      </c>
      <c r="B7" s="62">
        <v>6376.82</v>
      </c>
      <c r="C7" s="58">
        <v>5987.27</v>
      </c>
      <c r="D7" s="63">
        <v>9112.19</v>
      </c>
      <c r="E7" s="59">
        <v>8896.1200000000008</v>
      </c>
      <c r="F7" s="60">
        <v>10583.6</v>
      </c>
      <c r="G7" s="60">
        <v>9561.07</v>
      </c>
      <c r="H7" s="59">
        <v>8991.09</v>
      </c>
      <c r="I7" s="61">
        <v>4999.24</v>
      </c>
      <c r="J7" s="60">
        <v>7269.11</v>
      </c>
      <c r="K7" s="60">
        <v>8258.35</v>
      </c>
      <c r="L7" s="59">
        <v>9830.94</v>
      </c>
      <c r="M7" s="59">
        <v>10132.42</v>
      </c>
      <c r="N7" s="59">
        <v>15811.1</v>
      </c>
    </row>
    <row r="8" spans="1:14" ht="15.6" x14ac:dyDescent="0.3">
      <c r="A8" s="48" t="s">
        <v>59</v>
      </c>
      <c r="B8" s="64">
        <v>4.72</v>
      </c>
      <c r="C8" s="58">
        <v>9.66</v>
      </c>
      <c r="D8" s="63" t="s">
        <v>54</v>
      </c>
      <c r="E8" s="59">
        <v>1.61</v>
      </c>
      <c r="F8" s="60">
        <v>0.33</v>
      </c>
      <c r="G8" s="60">
        <v>0</v>
      </c>
      <c r="H8" s="59">
        <v>0</v>
      </c>
      <c r="I8" s="65" t="s">
        <v>54</v>
      </c>
      <c r="J8" s="60">
        <v>9.1199999999999992</v>
      </c>
      <c r="K8" s="60">
        <v>1.2</v>
      </c>
      <c r="L8" s="59">
        <v>26.5</v>
      </c>
      <c r="M8" s="59">
        <v>38.69</v>
      </c>
      <c r="N8" s="59">
        <v>66.760000000000005</v>
      </c>
    </row>
    <row r="9" spans="1:14" ht="15.6" x14ac:dyDescent="0.3">
      <c r="A9" s="48" t="s">
        <v>60</v>
      </c>
      <c r="B9" s="64">
        <v>1315.07</v>
      </c>
      <c r="C9" s="58">
        <v>945.21</v>
      </c>
      <c r="D9" s="63">
        <v>821.47</v>
      </c>
      <c r="E9" s="59">
        <v>1368.24</v>
      </c>
      <c r="F9" s="60">
        <v>1586.8</v>
      </c>
      <c r="G9" s="60">
        <v>1218.0999999999999</v>
      </c>
      <c r="H9" s="59">
        <v>1270.92</v>
      </c>
      <c r="I9" s="61">
        <v>1585.27</v>
      </c>
      <c r="J9" s="60">
        <v>2682.67</v>
      </c>
      <c r="K9" s="60">
        <v>3885.87</v>
      </c>
      <c r="L9" s="59">
        <v>3721.23</v>
      </c>
      <c r="M9" s="59">
        <v>3876.17</v>
      </c>
      <c r="N9" s="59">
        <v>4661.49</v>
      </c>
    </row>
    <row r="10" spans="1:14" ht="15.6" x14ac:dyDescent="0.3">
      <c r="A10" s="48" t="s">
        <v>61</v>
      </c>
      <c r="B10" s="64">
        <v>6.64</v>
      </c>
      <c r="C10" s="58">
        <v>33.72</v>
      </c>
      <c r="D10" s="63">
        <v>10.36</v>
      </c>
      <c r="E10" s="59">
        <v>10.32</v>
      </c>
      <c r="F10" s="60">
        <v>1519.22</v>
      </c>
      <c r="G10" s="60">
        <v>4398.5</v>
      </c>
      <c r="H10" s="59">
        <v>220.73</v>
      </c>
      <c r="I10" s="61">
        <v>427.19</v>
      </c>
      <c r="J10" s="60">
        <v>1267.1300000000001</v>
      </c>
      <c r="K10" s="60">
        <v>1374.41</v>
      </c>
      <c r="L10" s="59">
        <v>3215.96</v>
      </c>
      <c r="M10" s="59">
        <v>898.17</v>
      </c>
      <c r="N10" s="59">
        <v>932.3</v>
      </c>
    </row>
    <row r="11" spans="1:14" ht="15.6" x14ac:dyDescent="0.3">
      <c r="A11" s="48" t="s">
        <v>62</v>
      </c>
      <c r="B11" s="64">
        <v>-13.09</v>
      </c>
      <c r="C11" s="58">
        <v>-27.95</v>
      </c>
      <c r="D11" s="63">
        <v>1.1599999999999999</v>
      </c>
      <c r="E11" s="59">
        <v>-2.21</v>
      </c>
      <c r="F11" s="60">
        <v>-14.73</v>
      </c>
      <c r="G11" s="60">
        <v>-9.68</v>
      </c>
      <c r="H11" s="59">
        <v>-27.17</v>
      </c>
      <c r="I11" s="61">
        <v>1.82</v>
      </c>
      <c r="J11" s="60">
        <v>35.56</v>
      </c>
      <c r="K11" s="60">
        <v>100.76</v>
      </c>
      <c r="L11" s="59">
        <v>1194.5899999999999</v>
      </c>
      <c r="M11" s="59">
        <v>2177.9699999999998</v>
      </c>
      <c r="N11" s="59">
        <v>1116.52</v>
      </c>
    </row>
    <row r="12" spans="1:14" ht="15.6" x14ac:dyDescent="0.3">
      <c r="A12" s="48" t="s">
        <v>63</v>
      </c>
      <c r="B12" s="64">
        <v>79125.05</v>
      </c>
      <c r="C12" s="58">
        <v>81886.98</v>
      </c>
      <c r="D12" s="63">
        <v>79958.320000000007</v>
      </c>
      <c r="E12" s="59">
        <v>86370.92</v>
      </c>
      <c r="F12" s="60">
        <v>90445.24</v>
      </c>
      <c r="G12" s="60">
        <v>95230.59</v>
      </c>
      <c r="H12" s="59">
        <v>111092.43</v>
      </c>
      <c r="I12" s="61">
        <v>134304.92000000001</v>
      </c>
      <c r="J12" s="60">
        <v>137986.97</v>
      </c>
      <c r="K12" s="60">
        <v>142940.01</v>
      </c>
      <c r="L12" s="59">
        <v>154256.28</v>
      </c>
      <c r="M12" s="59">
        <v>159500</v>
      </c>
      <c r="N12" s="59">
        <v>180000</v>
      </c>
    </row>
    <row r="13" spans="1:14" ht="15.6" x14ac:dyDescent="0.3">
      <c r="A13" s="48"/>
      <c r="B13" s="62"/>
      <c r="C13" s="62"/>
      <c r="D13" s="62"/>
      <c r="E13" s="62"/>
      <c r="F13" s="62"/>
      <c r="G13" s="62"/>
      <c r="H13" s="62"/>
      <c r="I13" s="62"/>
      <c r="J13" s="48"/>
      <c r="K13" s="48"/>
      <c r="L13" s="48"/>
      <c r="M13" s="48"/>
      <c r="N13" s="48"/>
    </row>
    <row r="14" spans="1:14" ht="15.6" x14ac:dyDescent="0.3">
      <c r="A14" s="51" t="s">
        <v>64</v>
      </c>
      <c r="B14" s="66">
        <v>3386.56</v>
      </c>
      <c r="C14" s="53">
        <v>4347.51</v>
      </c>
      <c r="D14" s="54">
        <v>4903.24</v>
      </c>
      <c r="E14" s="55">
        <v>4537.33</v>
      </c>
      <c r="F14" s="56">
        <v>8749.6</v>
      </c>
      <c r="G14" s="56">
        <v>9148.85</v>
      </c>
      <c r="H14" s="55">
        <v>9492.19</v>
      </c>
      <c r="I14" s="67">
        <v>7109.9</v>
      </c>
      <c r="J14" s="56">
        <v>9445.11</v>
      </c>
      <c r="K14" s="56">
        <v>12166.45</v>
      </c>
      <c r="L14" s="55">
        <v>8587.4500000000007</v>
      </c>
      <c r="M14" s="55">
        <v>11503.31</v>
      </c>
      <c r="N14" s="55">
        <v>11186.3</v>
      </c>
    </row>
    <row r="15" spans="1:14" ht="15.6" x14ac:dyDescent="0.3">
      <c r="A15" s="48" t="s">
        <v>65</v>
      </c>
      <c r="B15" s="64">
        <v>38.19</v>
      </c>
      <c r="C15" s="58">
        <v>24.06</v>
      </c>
      <c r="D15" s="63">
        <v>56.53</v>
      </c>
      <c r="E15" s="59">
        <v>56.29</v>
      </c>
      <c r="F15" s="60">
        <v>316.3</v>
      </c>
      <c r="G15" s="60">
        <v>2358</v>
      </c>
      <c r="H15" s="59">
        <v>2215.89</v>
      </c>
      <c r="I15" s="61">
        <v>225.95</v>
      </c>
      <c r="J15" s="60">
        <v>51.91</v>
      </c>
      <c r="K15" s="60">
        <v>75.98</v>
      </c>
      <c r="L15" s="59">
        <v>67.17</v>
      </c>
      <c r="M15" s="59">
        <v>193.95</v>
      </c>
      <c r="N15" s="59">
        <v>197.68</v>
      </c>
    </row>
    <row r="16" spans="1:14" ht="15.6" x14ac:dyDescent="0.3">
      <c r="A16" s="48" t="s">
        <v>66</v>
      </c>
      <c r="B16" s="64">
        <v>1203.33</v>
      </c>
      <c r="C16" s="58">
        <v>821.78</v>
      </c>
      <c r="D16" s="63">
        <v>855.89</v>
      </c>
      <c r="E16" s="59">
        <v>1222.6300000000001</v>
      </c>
      <c r="F16" s="60">
        <v>3075.88</v>
      </c>
      <c r="G16" s="60">
        <v>2345.33</v>
      </c>
      <c r="H16" s="59">
        <v>1640.21</v>
      </c>
      <c r="I16" s="61">
        <v>3578.23</v>
      </c>
      <c r="J16" s="60">
        <v>3117.25</v>
      </c>
      <c r="K16" s="60">
        <v>3029.15</v>
      </c>
      <c r="L16" s="59">
        <v>1966.66</v>
      </c>
      <c r="M16" s="59">
        <v>2462.11</v>
      </c>
      <c r="N16" s="59">
        <v>3420.75</v>
      </c>
    </row>
    <row r="17" spans="1:14" ht="15.6" x14ac:dyDescent="0.3">
      <c r="A17" s="48" t="s">
        <v>67</v>
      </c>
      <c r="B17" s="68" t="s">
        <v>54</v>
      </c>
      <c r="C17" s="58" t="s">
        <v>54</v>
      </c>
      <c r="D17" s="63">
        <v>0.01</v>
      </c>
      <c r="E17" s="59">
        <v>0.09</v>
      </c>
      <c r="F17" s="60">
        <v>3.19</v>
      </c>
      <c r="G17" s="60">
        <v>11.61</v>
      </c>
      <c r="H17" s="59">
        <v>8.94</v>
      </c>
      <c r="I17" s="61">
        <v>3.99</v>
      </c>
      <c r="J17" s="60">
        <v>3.7</v>
      </c>
      <c r="K17" s="60">
        <v>2.14</v>
      </c>
      <c r="L17" s="59">
        <v>3.43</v>
      </c>
      <c r="M17" s="59">
        <v>3.91</v>
      </c>
      <c r="N17" s="59">
        <v>7.28</v>
      </c>
    </row>
    <row r="18" spans="1:14" ht="15.6" x14ac:dyDescent="0.3">
      <c r="A18" s="48" t="s">
        <v>68</v>
      </c>
      <c r="B18" s="64">
        <v>811.44</v>
      </c>
      <c r="C18" s="58">
        <v>947.44</v>
      </c>
      <c r="D18" s="63">
        <v>932.41</v>
      </c>
      <c r="E18" s="59">
        <v>978.21</v>
      </c>
      <c r="F18" s="60">
        <v>1264.78</v>
      </c>
      <c r="G18" s="60">
        <v>1094.72</v>
      </c>
      <c r="H18" s="59">
        <v>962.62</v>
      </c>
      <c r="I18" s="61">
        <v>1132.1300000000001</v>
      </c>
      <c r="J18" s="60">
        <v>1448.68</v>
      </c>
      <c r="K18" s="60">
        <v>1794.16</v>
      </c>
      <c r="L18" s="59">
        <v>1497.36</v>
      </c>
      <c r="M18" s="59">
        <v>2219.33</v>
      </c>
      <c r="N18" s="59">
        <v>2019.73</v>
      </c>
    </row>
    <row r="19" spans="1:14" ht="15.6" x14ac:dyDescent="0.3">
      <c r="A19" s="48" t="s">
        <v>69</v>
      </c>
      <c r="B19" s="64">
        <v>885</v>
      </c>
      <c r="C19" s="58">
        <v>1662.78</v>
      </c>
      <c r="D19" s="63">
        <v>2432.96</v>
      </c>
      <c r="E19" s="59">
        <v>1433.2</v>
      </c>
      <c r="F19" s="60">
        <v>3248.77</v>
      </c>
      <c r="G19" s="60">
        <v>2441</v>
      </c>
      <c r="H19" s="59">
        <v>3713.06</v>
      </c>
      <c r="I19" s="61">
        <v>1720.85</v>
      </c>
      <c r="J19" s="60">
        <v>4359.6899999999996</v>
      </c>
      <c r="K19" s="60">
        <v>6799.31</v>
      </c>
      <c r="L19" s="59">
        <v>4470.4399999999996</v>
      </c>
      <c r="M19" s="59">
        <v>6174.73</v>
      </c>
      <c r="N19" s="59">
        <v>4990.76</v>
      </c>
    </row>
    <row r="20" spans="1:14" ht="15.6" x14ac:dyDescent="0.3">
      <c r="A20" s="48" t="s">
        <v>70</v>
      </c>
      <c r="B20" s="64">
        <v>21.45</v>
      </c>
      <c r="C20" s="58">
        <v>29.8</v>
      </c>
      <c r="D20" s="63">
        <v>21.51</v>
      </c>
      <c r="E20" s="59">
        <v>44.45</v>
      </c>
      <c r="F20" s="60">
        <v>11.24</v>
      </c>
      <c r="G20" s="60">
        <v>9.2799999999999994</v>
      </c>
      <c r="H20" s="59">
        <v>4.29</v>
      </c>
      <c r="I20" s="61">
        <v>6.32</v>
      </c>
      <c r="J20" s="60">
        <v>21.09</v>
      </c>
      <c r="K20" s="60">
        <v>25.65</v>
      </c>
      <c r="L20" s="59">
        <v>37.549999999999997</v>
      </c>
      <c r="M20" s="59">
        <v>61.87</v>
      </c>
      <c r="N20" s="59">
        <v>43.79</v>
      </c>
    </row>
    <row r="21" spans="1:14" ht="15.6" x14ac:dyDescent="0.3">
      <c r="A21" s="48" t="s">
        <v>71</v>
      </c>
      <c r="B21" s="64">
        <v>329.97</v>
      </c>
      <c r="C21" s="58">
        <v>762.1</v>
      </c>
      <c r="D21" s="63">
        <v>445.43</v>
      </c>
      <c r="E21" s="59">
        <v>528.08000000000004</v>
      </c>
      <c r="F21" s="60">
        <v>498.28</v>
      </c>
      <c r="G21" s="60">
        <v>507.44</v>
      </c>
      <c r="H21" s="59">
        <v>695.05</v>
      </c>
      <c r="I21" s="61">
        <v>210.06</v>
      </c>
      <c r="J21" s="60">
        <v>195.08</v>
      </c>
      <c r="K21" s="60">
        <v>224.09</v>
      </c>
      <c r="L21" s="59">
        <v>148.41</v>
      </c>
      <c r="M21" s="59">
        <v>30.65</v>
      </c>
      <c r="N21" s="59">
        <v>30.66</v>
      </c>
    </row>
    <row r="22" spans="1:14" ht="15.6" x14ac:dyDescent="0.3">
      <c r="A22" s="48" t="s">
        <v>72</v>
      </c>
      <c r="B22" s="64">
        <v>32.549999999999997</v>
      </c>
      <c r="C22" s="58">
        <v>36.58</v>
      </c>
      <c r="D22" s="63">
        <v>54.25</v>
      </c>
      <c r="E22" s="59">
        <v>60</v>
      </c>
      <c r="F22" s="60">
        <v>46.05</v>
      </c>
      <c r="G22" s="60">
        <v>50.99</v>
      </c>
      <c r="H22" s="59">
        <v>1.1499999999999999</v>
      </c>
      <c r="I22" s="61">
        <v>0.48</v>
      </c>
      <c r="J22" s="60">
        <v>0</v>
      </c>
      <c r="K22" s="60">
        <v>0</v>
      </c>
      <c r="L22" s="59">
        <v>0</v>
      </c>
      <c r="M22" s="59">
        <v>0</v>
      </c>
      <c r="N22" s="59">
        <v>0</v>
      </c>
    </row>
    <row r="23" spans="1:14" ht="15.6" x14ac:dyDescent="0.3">
      <c r="A23" s="48" t="s">
        <v>73</v>
      </c>
      <c r="B23" s="64">
        <v>64.63</v>
      </c>
      <c r="C23" s="58">
        <v>62.97</v>
      </c>
      <c r="D23" s="63">
        <v>104.25</v>
      </c>
      <c r="E23" s="59">
        <v>214.38</v>
      </c>
      <c r="F23" s="60">
        <v>285.11</v>
      </c>
      <c r="G23" s="60">
        <v>330.48</v>
      </c>
      <c r="H23" s="59">
        <v>250.98</v>
      </c>
      <c r="I23" s="61">
        <v>231.89</v>
      </c>
      <c r="J23" s="60">
        <v>247.71</v>
      </c>
      <c r="K23" s="60">
        <v>215.97</v>
      </c>
      <c r="L23" s="59">
        <v>396.43</v>
      </c>
      <c r="M23" s="59">
        <v>356.76</v>
      </c>
      <c r="N23" s="59">
        <v>475.65</v>
      </c>
    </row>
    <row r="24" spans="1:14" ht="15.6" x14ac:dyDescent="0.3">
      <c r="A24" s="48"/>
      <c r="B24" s="66"/>
      <c r="C24" s="62"/>
      <c r="D24" s="62"/>
      <c r="E24" s="62"/>
      <c r="F24" s="62"/>
      <c r="G24" s="62"/>
      <c r="H24" s="62"/>
      <c r="I24" s="62"/>
      <c r="J24" s="48"/>
      <c r="K24" s="48"/>
      <c r="L24" s="48"/>
      <c r="M24" s="48"/>
      <c r="N24" s="48"/>
    </row>
    <row r="25" spans="1:14" ht="15.6" x14ac:dyDescent="0.3">
      <c r="A25" s="51" t="s">
        <v>74</v>
      </c>
      <c r="B25" s="66">
        <v>76248.11</v>
      </c>
      <c r="C25" s="53">
        <v>76302.42</v>
      </c>
      <c r="D25" s="54">
        <v>180796.24</v>
      </c>
      <c r="E25" s="55">
        <v>144127.34</v>
      </c>
      <c r="F25" s="56">
        <v>207697.78</v>
      </c>
      <c r="G25" s="56">
        <v>275851.86</v>
      </c>
      <c r="H25" s="55">
        <v>252001.86</v>
      </c>
      <c r="I25" s="67">
        <v>191145.47</v>
      </c>
      <c r="J25" s="56">
        <v>371338.6</v>
      </c>
      <c r="K25" s="56">
        <v>447586.13</v>
      </c>
      <c r="L25" s="55">
        <v>617034.53</v>
      </c>
      <c r="M25" s="55">
        <v>653215.76</v>
      </c>
      <c r="N25" s="55">
        <v>731222.48</v>
      </c>
    </row>
    <row r="26" spans="1:14" ht="15.6" x14ac:dyDescent="0.3">
      <c r="A26" s="69" t="s">
        <v>75</v>
      </c>
      <c r="B26" s="66">
        <v>817.64</v>
      </c>
      <c r="C26" s="53">
        <v>418.43</v>
      </c>
      <c r="D26" s="54">
        <v>416.88</v>
      </c>
      <c r="E26" s="55">
        <v>1472.31</v>
      </c>
      <c r="F26" s="56">
        <v>3938.97</v>
      </c>
      <c r="G26" s="56">
        <v>2709.9</v>
      </c>
      <c r="H26" s="55">
        <v>3294.04</v>
      </c>
      <c r="I26" s="67">
        <v>2291.64</v>
      </c>
      <c r="J26" s="56">
        <v>8638.56</v>
      </c>
      <c r="K26" s="56">
        <v>3381.29</v>
      </c>
      <c r="L26" s="55">
        <v>274.95999999999998</v>
      </c>
      <c r="M26" s="55">
        <v>279.67</v>
      </c>
      <c r="N26" s="55">
        <v>284.11</v>
      </c>
    </row>
    <row r="27" spans="1:14" ht="15.6" x14ac:dyDescent="0.3">
      <c r="A27" s="48" t="s">
        <v>76</v>
      </c>
      <c r="B27" s="64">
        <v>18.940000000000001</v>
      </c>
      <c r="C27" s="58">
        <v>13.73</v>
      </c>
      <c r="D27" s="63">
        <v>19.97</v>
      </c>
      <c r="E27" s="59">
        <v>12.16</v>
      </c>
      <c r="F27" s="60">
        <v>16.690000000000001</v>
      </c>
      <c r="G27" s="60">
        <v>9.81</v>
      </c>
      <c r="H27" s="59">
        <v>12.65</v>
      </c>
      <c r="I27" s="61">
        <v>21.8</v>
      </c>
      <c r="J27" s="60">
        <v>11.46</v>
      </c>
      <c r="K27" s="60">
        <v>8.1</v>
      </c>
      <c r="L27" s="59">
        <v>21.13</v>
      </c>
      <c r="M27" s="59">
        <v>92.03</v>
      </c>
      <c r="N27" s="59">
        <v>66.83</v>
      </c>
    </row>
    <row r="28" spans="1:14" ht="15.6" x14ac:dyDescent="0.3">
      <c r="A28" s="48" t="s">
        <v>77</v>
      </c>
      <c r="B28" s="64">
        <v>0.05</v>
      </c>
      <c r="C28" s="58" t="s">
        <v>54</v>
      </c>
      <c r="D28" s="62"/>
      <c r="E28" s="60" t="s">
        <v>55</v>
      </c>
      <c r="F28" s="60" t="s">
        <v>55</v>
      </c>
      <c r="G28" s="60" t="s">
        <v>55</v>
      </c>
      <c r="H28" s="60" t="s">
        <v>55</v>
      </c>
      <c r="I28" s="60" t="s">
        <v>55</v>
      </c>
      <c r="J28" s="60" t="s">
        <v>55</v>
      </c>
      <c r="K28" s="60">
        <v>0</v>
      </c>
      <c r="L28" s="59">
        <v>4.51</v>
      </c>
      <c r="M28" s="59">
        <v>4.25</v>
      </c>
      <c r="N28" s="59">
        <v>1.75</v>
      </c>
    </row>
    <row r="29" spans="1:14" ht="15.6" x14ac:dyDescent="0.3">
      <c r="A29" s="48" t="s">
        <v>78</v>
      </c>
      <c r="B29" s="64">
        <v>4.9400000000000004</v>
      </c>
      <c r="C29" s="58">
        <v>7.75</v>
      </c>
      <c r="D29" s="63">
        <v>5.16</v>
      </c>
      <c r="E29" s="59">
        <v>5.71</v>
      </c>
      <c r="F29" s="60">
        <v>5.37</v>
      </c>
      <c r="G29" s="60">
        <v>5.35</v>
      </c>
      <c r="H29" s="59">
        <v>5.47</v>
      </c>
      <c r="I29" s="61">
        <v>3.52</v>
      </c>
      <c r="J29" s="60">
        <v>2.21</v>
      </c>
      <c r="K29" s="60">
        <v>13.45</v>
      </c>
      <c r="L29" s="59">
        <v>15.24</v>
      </c>
      <c r="M29" s="59">
        <v>52.21</v>
      </c>
      <c r="N29" s="59">
        <v>105.75</v>
      </c>
    </row>
    <row r="30" spans="1:14" ht="15.6" x14ac:dyDescent="0.3">
      <c r="A30" s="48" t="s">
        <v>79</v>
      </c>
      <c r="B30" s="64">
        <v>0.83</v>
      </c>
      <c r="C30" s="58">
        <v>0.97</v>
      </c>
      <c r="D30" s="63">
        <v>0.93</v>
      </c>
      <c r="E30" s="59">
        <v>0</v>
      </c>
      <c r="F30" s="60">
        <v>0</v>
      </c>
      <c r="G30" s="60">
        <v>0</v>
      </c>
      <c r="H30" s="59">
        <v>0.21</v>
      </c>
      <c r="I30" s="65" t="s">
        <v>54</v>
      </c>
      <c r="J30" s="60">
        <v>0</v>
      </c>
      <c r="K30" s="60">
        <v>0</v>
      </c>
      <c r="L30" s="59">
        <v>0.03</v>
      </c>
      <c r="M30" s="59">
        <v>22.1</v>
      </c>
      <c r="N30" s="59">
        <v>2.8</v>
      </c>
    </row>
    <row r="31" spans="1:14" ht="15.6" x14ac:dyDescent="0.3">
      <c r="A31" s="48" t="s">
        <v>80</v>
      </c>
      <c r="B31" s="64">
        <v>3.4</v>
      </c>
      <c r="C31" s="58">
        <v>1.39</v>
      </c>
      <c r="D31" s="63">
        <v>1.28</v>
      </c>
      <c r="E31" s="59">
        <v>2.29</v>
      </c>
      <c r="F31" s="60">
        <v>2.63</v>
      </c>
      <c r="G31" s="60">
        <v>2.39</v>
      </c>
      <c r="H31" s="59">
        <v>3.45</v>
      </c>
      <c r="I31" s="61">
        <v>4.6900000000000004</v>
      </c>
      <c r="J31" s="60">
        <v>11.17</v>
      </c>
      <c r="K31" s="60">
        <v>2.2799999999999998</v>
      </c>
      <c r="L31" s="59">
        <v>3.56</v>
      </c>
      <c r="M31" s="59">
        <v>7.75</v>
      </c>
      <c r="N31" s="59">
        <v>20.57</v>
      </c>
    </row>
    <row r="32" spans="1:14" ht="15.6" x14ac:dyDescent="0.3">
      <c r="A32" s="48" t="s">
        <v>81</v>
      </c>
      <c r="B32" s="64">
        <v>3.03</v>
      </c>
      <c r="C32" s="58">
        <v>5.01</v>
      </c>
      <c r="D32" s="63">
        <v>3.68</v>
      </c>
      <c r="E32" s="59">
        <v>14.62</v>
      </c>
      <c r="F32" s="60">
        <v>9.0500000000000007</v>
      </c>
      <c r="G32" s="60">
        <v>15.1</v>
      </c>
      <c r="H32" s="59">
        <v>16.23</v>
      </c>
      <c r="I32" s="61">
        <v>17.809999999999999</v>
      </c>
      <c r="J32" s="60">
        <v>18.989999999999998</v>
      </c>
      <c r="K32" s="60">
        <v>26</v>
      </c>
      <c r="L32" s="59">
        <v>37.64</v>
      </c>
      <c r="M32" s="59">
        <v>45.48</v>
      </c>
      <c r="N32" s="59">
        <v>61.06</v>
      </c>
    </row>
    <row r="33" spans="1:14" ht="15.6" x14ac:dyDescent="0.3">
      <c r="A33" s="48" t="s">
        <v>82</v>
      </c>
      <c r="B33" s="64">
        <v>3.49</v>
      </c>
      <c r="C33" s="58">
        <v>88.92</v>
      </c>
      <c r="D33" s="63">
        <v>70.86</v>
      </c>
      <c r="E33" s="59">
        <v>31.39</v>
      </c>
      <c r="F33" s="60">
        <v>24.56</v>
      </c>
      <c r="G33" s="60">
        <v>568.28</v>
      </c>
      <c r="H33" s="59">
        <v>1054.52</v>
      </c>
      <c r="I33" s="61">
        <v>1043.82</v>
      </c>
      <c r="J33" s="60">
        <v>2509.3000000000002</v>
      </c>
      <c r="K33" s="60">
        <v>1970.46</v>
      </c>
      <c r="L33" s="59">
        <v>189.35</v>
      </c>
      <c r="M33" s="59">
        <v>49.25</v>
      </c>
      <c r="N33" s="59">
        <v>20.77</v>
      </c>
    </row>
    <row r="34" spans="1:14" ht="15.6" x14ac:dyDescent="0.3">
      <c r="A34" s="48" t="s">
        <v>83</v>
      </c>
      <c r="B34" s="64">
        <v>782.78</v>
      </c>
      <c r="C34" s="58">
        <v>300</v>
      </c>
      <c r="D34" s="63">
        <v>315</v>
      </c>
      <c r="E34" s="59">
        <v>1405.5</v>
      </c>
      <c r="F34" s="60">
        <v>3880</v>
      </c>
      <c r="G34" s="60">
        <v>2108</v>
      </c>
      <c r="H34" s="59">
        <v>2200.5100000000002</v>
      </c>
      <c r="I34" s="61">
        <v>1200</v>
      </c>
      <c r="J34" s="60">
        <v>6084</v>
      </c>
      <c r="K34" s="60">
        <v>1361</v>
      </c>
      <c r="L34" s="59">
        <v>0</v>
      </c>
      <c r="M34" s="59">
        <v>0</v>
      </c>
      <c r="N34" s="59">
        <v>0.02</v>
      </c>
    </row>
    <row r="35" spans="1:14" ht="15.6" x14ac:dyDescent="0.3">
      <c r="A35" s="48" t="s">
        <v>84</v>
      </c>
      <c r="B35" s="64">
        <v>0.18</v>
      </c>
      <c r="C35" s="58">
        <v>0.66</v>
      </c>
      <c r="D35" s="63" t="s">
        <v>54</v>
      </c>
      <c r="E35" s="59">
        <v>0.64</v>
      </c>
      <c r="F35" s="60">
        <v>0.67</v>
      </c>
      <c r="G35" s="60">
        <v>0.97</v>
      </c>
      <c r="H35" s="59">
        <v>1</v>
      </c>
      <c r="I35" s="62" t="s">
        <v>55</v>
      </c>
      <c r="J35" s="60">
        <v>1.43</v>
      </c>
      <c r="K35" s="60">
        <v>0</v>
      </c>
      <c r="L35" s="59">
        <v>3.5</v>
      </c>
      <c r="M35" s="59">
        <v>6.6</v>
      </c>
      <c r="N35" s="59">
        <v>4.5599999999999996</v>
      </c>
    </row>
    <row r="36" spans="1:14" ht="15.6" x14ac:dyDescent="0.3">
      <c r="A36" s="69" t="s">
        <v>85</v>
      </c>
      <c r="B36" s="56" t="s">
        <v>55</v>
      </c>
      <c r="C36" s="56" t="s">
        <v>55</v>
      </c>
      <c r="D36" s="56" t="s">
        <v>55</v>
      </c>
      <c r="E36" s="56" t="s">
        <v>55</v>
      </c>
      <c r="F36" s="56" t="s">
        <v>55</v>
      </c>
      <c r="G36" s="56" t="s">
        <v>55</v>
      </c>
      <c r="H36" s="62" t="s">
        <v>55</v>
      </c>
      <c r="I36" s="62" t="s">
        <v>55</v>
      </c>
      <c r="J36" s="56">
        <v>0</v>
      </c>
      <c r="K36" s="56">
        <v>0</v>
      </c>
      <c r="L36" s="55">
        <v>1.5</v>
      </c>
      <c r="M36" s="55">
        <v>21.04</v>
      </c>
      <c r="N36" s="55">
        <v>12.4</v>
      </c>
    </row>
    <row r="37" spans="1:14" ht="15.6" x14ac:dyDescent="0.3">
      <c r="A37" s="48" t="s">
        <v>86</v>
      </c>
      <c r="B37" s="60" t="s">
        <v>55</v>
      </c>
      <c r="C37" s="60" t="s">
        <v>55</v>
      </c>
      <c r="D37" s="60" t="s">
        <v>55</v>
      </c>
      <c r="E37" s="60" t="s">
        <v>55</v>
      </c>
      <c r="F37" s="60" t="s">
        <v>55</v>
      </c>
      <c r="G37" s="60" t="s">
        <v>55</v>
      </c>
      <c r="H37" s="62" t="s">
        <v>55</v>
      </c>
      <c r="I37" s="62" t="s">
        <v>55</v>
      </c>
      <c r="J37" s="60">
        <v>0</v>
      </c>
      <c r="K37" s="60">
        <v>0</v>
      </c>
      <c r="L37" s="59">
        <v>1.5</v>
      </c>
      <c r="M37" s="59">
        <v>21.04</v>
      </c>
      <c r="N37" s="59">
        <v>12.4</v>
      </c>
    </row>
    <row r="38" spans="1:14" ht="15.6" x14ac:dyDescent="0.3">
      <c r="A38" s="69" t="s">
        <v>87</v>
      </c>
      <c r="B38" s="66">
        <v>83.68</v>
      </c>
      <c r="C38" s="53">
        <v>101.94</v>
      </c>
      <c r="D38" s="54">
        <v>257.91000000000003</v>
      </c>
      <c r="E38" s="55">
        <v>384.02</v>
      </c>
      <c r="F38" s="56">
        <v>202.36</v>
      </c>
      <c r="G38" s="56">
        <v>91.51</v>
      </c>
      <c r="H38" s="55">
        <v>579.6</v>
      </c>
      <c r="I38" s="67">
        <v>288.35000000000002</v>
      </c>
      <c r="J38" s="56">
        <v>621.89</v>
      </c>
      <c r="K38" s="56">
        <v>284.27999999999997</v>
      </c>
      <c r="L38" s="55">
        <v>977.16</v>
      </c>
      <c r="M38" s="55">
        <v>24495.07</v>
      </c>
      <c r="N38" s="55">
        <v>27979.68</v>
      </c>
    </row>
    <row r="39" spans="1:14" ht="15.6" x14ac:dyDescent="0.3">
      <c r="A39" s="48" t="s">
        <v>88</v>
      </c>
      <c r="B39" s="64">
        <v>83.68</v>
      </c>
      <c r="C39" s="58">
        <v>101.94</v>
      </c>
      <c r="D39" s="63">
        <v>257.91000000000003</v>
      </c>
      <c r="E39" s="59">
        <v>384.02</v>
      </c>
      <c r="F39" s="60">
        <v>202.36</v>
      </c>
      <c r="G39" s="60">
        <v>91.51</v>
      </c>
      <c r="H39" s="59">
        <v>579.6</v>
      </c>
      <c r="I39" s="61">
        <v>288.35000000000002</v>
      </c>
      <c r="J39" s="60">
        <v>621.89</v>
      </c>
      <c r="K39" s="60">
        <v>284.27999999999997</v>
      </c>
      <c r="L39" s="59">
        <v>977.16</v>
      </c>
      <c r="M39" s="59">
        <v>24495.07</v>
      </c>
      <c r="N39" s="59">
        <v>27979.68</v>
      </c>
    </row>
    <row r="40" spans="1:14" ht="15.6" x14ac:dyDescent="0.3">
      <c r="A40" s="69" t="s">
        <v>89</v>
      </c>
      <c r="B40" s="66">
        <v>9.23</v>
      </c>
      <c r="C40" s="53">
        <v>17.04</v>
      </c>
      <c r="D40" s="54">
        <v>89.79</v>
      </c>
      <c r="E40" s="55">
        <v>82.14</v>
      </c>
      <c r="F40" s="56">
        <v>276.58</v>
      </c>
      <c r="G40" s="56">
        <v>267.23</v>
      </c>
      <c r="H40" s="55">
        <v>259.31</v>
      </c>
      <c r="I40" s="67">
        <v>133.07</v>
      </c>
      <c r="J40" s="56">
        <v>159.27000000000001</v>
      </c>
      <c r="K40" s="56">
        <v>138.4</v>
      </c>
      <c r="L40" s="55">
        <v>179.81</v>
      </c>
      <c r="M40" s="55">
        <v>241.32</v>
      </c>
      <c r="N40" s="55">
        <v>486.27</v>
      </c>
    </row>
    <row r="41" spans="1:14" ht="15.6" x14ac:dyDescent="0.3">
      <c r="A41" s="48" t="s">
        <v>90</v>
      </c>
      <c r="B41" s="68" t="s">
        <v>54</v>
      </c>
      <c r="C41" s="58">
        <v>1.29</v>
      </c>
      <c r="D41" s="63">
        <v>16.559999999999999</v>
      </c>
      <c r="E41" s="59">
        <v>24.5</v>
      </c>
      <c r="F41" s="60">
        <v>47.7</v>
      </c>
      <c r="G41" s="60">
        <v>35.28</v>
      </c>
      <c r="H41" s="59">
        <v>56.41</v>
      </c>
      <c r="I41" s="61">
        <v>47.71</v>
      </c>
      <c r="J41" s="60">
        <v>55.44</v>
      </c>
      <c r="K41" s="60">
        <v>58.22</v>
      </c>
      <c r="L41" s="59">
        <v>53.03</v>
      </c>
      <c r="M41" s="59">
        <v>88.88</v>
      </c>
      <c r="N41" s="59">
        <v>64.97</v>
      </c>
    </row>
    <row r="42" spans="1:14" ht="15.6" x14ac:dyDescent="0.3">
      <c r="A42" s="48" t="s">
        <v>91</v>
      </c>
      <c r="B42" s="64">
        <v>3.43</v>
      </c>
      <c r="C42" s="58">
        <v>3.55</v>
      </c>
      <c r="D42" s="63">
        <v>62.91</v>
      </c>
      <c r="E42" s="59">
        <v>47.81</v>
      </c>
      <c r="F42" s="60">
        <v>200.15</v>
      </c>
      <c r="G42" s="60">
        <v>214.42</v>
      </c>
      <c r="H42" s="59">
        <v>185.14</v>
      </c>
      <c r="I42" s="61">
        <v>77.23</v>
      </c>
      <c r="J42" s="60">
        <v>98.28</v>
      </c>
      <c r="K42" s="60">
        <v>79.510000000000005</v>
      </c>
      <c r="L42" s="59">
        <v>125.88</v>
      </c>
      <c r="M42" s="59">
        <v>150.54</v>
      </c>
      <c r="N42" s="59">
        <v>419.42</v>
      </c>
    </row>
    <row r="43" spans="1:14" ht="15.6" x14ac:dyDescent="0.3">
      <c r="A43" s="48" t="s">
        <v>92</v>
      </c>
      <c r="B43" s="64">
        <v>5.8</v>
      </c>
      <c r="C43" s="58">
        <v>12.2</v>
      </c>
      <c r="D43" s="63">
        <v>10.32</v>
      </c>
      <c r="E43" s="59">
        <v>9.83</v>
      </c>
      <c r="F43" s="60">
        <v>28.73</v>
      </c>
      <c r="G43" s="60">
        <v>17.53</v>
      </c>
      <c r="H43" s="59">
        <v>17.760000000000002</v>
      </c>
      <c r="I43" s="61">
        <v>8.1300000000000008</v>
      </c>
      <c r="J43" s="60">
        <v>5.55</v>
      </c>
      <c r="K43" s="60">
        <v>0.67</v>
      </c>
      <c r="L43" s="59">
        <v>0.9</v>
      </c>
      <c r="M43" s="59">
        <v>1.9</v>
      </c>
      <c r="N43" s="59">
        <v>1.88</v>
      </c>
    </row>
    <row r="44" spans="1:14" ht="15.6" x14ac:dyDescent="0.3">
      <c r="A44" s="69" t="s">
        <v>93</v>
      </c>
      <c r="B44" s="66">
        <v>525.47</v>
      </c>
      <c r="C44" s="53">
        <v>708.59</v>
      </c>
      <c r="D44" s="54">
        <v>1944.07</v>
      </c>
      <c r="E44" s="55">
        <v>4533.6499999999996</v>
      </c>
      <c r="F44" s="56">
        <v>2448.52</v>
      </c>
      <c r="G44" s="56">
        <v>3817.32</v>
      </c>
      <c r="H44" s="55">
        <v>1374</v>
      </c>
      <c r="I44" s="67">
        <v>3019.2</v>
      </c>
      <c r="J44" s="56">
        <v>3519.85</v>
      </c>
      <c r="K44" s="56">
        <v>2082.8200000000002</v>
      </c>
      <c r="L44" s="55">
        <v>6999.23</v>
      </c>
      <c r="M44" s="55">
        <v>5977.11</v>
      </c>
      <c r="N44" s="55">
        <v>10646.24</v>
      </c>
    </row>
    <row r="45" spans="1:14" ht="15.6" x14ac:dyDescent="0.3">
      <c r="A45" s="48" t="s">
        <v>94</v>
      </c>
      <c r="B45" s="64">
        <v>426.13</v>
      </c>
      <c r="C45" s="58">
        <v>437.46</v>
      </c>
      <c r="D45" s="63">
        <v>696.55</v>
      </c>
      <c r="E45" s="59">
        <v>2072.02</v>
      </c>
      <c r="F45" s="60">
        <v>1316.51</v>
      </c>
      <c r="G45" s="60">
        <v>1641.61</v>
      </c>
      <c r="H45" s="59">
        <v>773.49</v>
      </c>
      <c r="I45" s="61">
        <v>556.24</v>
      </c>
      <c r="J45" s="60">
        <v>596.55999999999995</v>
      </c>
      <c r="K45" s="60">
        <v>2069.35</v>
      </c>
      <c r="L45" s="59">
        <v>4011.35</v>
      </c>
      <c r="M45" s="59">
        <v>4984.2</v>
      </c>
      <c r="N45" s="59">
        <v>4017.24</v>
      </c>
    </row>
    <row r="46" spans="1:14" ht="15.6" x14ac:dyDescent="0.3">
      <c r="A46" s="48" t="s">
        <v>95</v>
      </c>
      <c r="B46" s="68" t="s">
        <v>54</v>
      </c>
      <c r="C46" s="58" t="s">
        <v>54</v>
      </c>
      <c r="D46" s="63">
        <v>1153</v>
      </c>
      <c r="E46" s="59">
        <v>2451</v>
      </c>
      <c r="F46" s="60">
        <v>1131.01</v>
      </c>
      <c r="G46" s="60">
        <v>2158.3200000000002</v>
      </c>
      <c r="H46" s="59">
        <v>529.54</v>
      </c>
      <c r="I46" s="61">
        <v>2313</v>
      </c>
      <c r="J46" s="60">
        <v>347.31</v>
      </c>
      <c r="K46" s="60">
        <v>0</v>
      </c>
      <c r="L46" s="59">
        <v>2979.68</v>
      </c>
      <c r="M46" s="59">
        <v>987.91</v>
      </c>
      <c r="N46" s="59">
        <v>6624</v>
      </c>
    </row>
    <row r="47" spans="1:14" ht="15.6" x14ac:dyDescent="0.3">
      <c r="A47" s="48" t="s">
        <v>96</v>
      </c>
      <c r="B47" s="68" t="s">
        <v>54</v>
      </c>
      <c r="C47" s="58">
        <v>176.13</v>
      </c>
      <c r="D47" s="58" t="s">
        <v>54</v>
      </c>
      <c r="E47" s="58" t="s">
        <v>54</v>
      </c>
      <c r="F47" s="58" t="s">
        <v>54</v>
      </c>
      <c r="G47" s="58" t="s">
        <v>54</v>
      </c>
      <c r="H47" s="58" t="s">
        <v>54</v>
      </c>
      <c r="I47" s="58" t="s">
        <v>54</v>
      </c>
      <c r="J47" s="70" t="s">
        <v>54</v>
      </c>
      <c r="K47" s="60"/>
      <c r="L47" s="59"/>
      <c r="M47" s="59"/>
      <c r="N47" s="59"/>
    </row>
    <row r="48" spans="1:14" ht="15.6" x14ac:dyDescent="0.3">
      <c r="A48" s="48" t="s">
        <v>97</v>
      </c>
      <c r="B48" s="64">
        <v>99.34</v>
      </c>
      <c r="C48" s="58">
        <v>95</v>
      </c>
      <c r="D48" s="63">
        <v>94.52</v>
      </c>
      <c r="E48" s="59">
        <v>10.63</v>
      </c>
      <c r="F48" s="60">
        <v>1</v>
      </c>
      <c r="G48" s="60">
        <v>17.39</v>
      </c>
      <c r="H48" s="59">
        <v>70.97</v>
      </c>
      <c r="I48" s="61">
        <v>149.96</v>
      </c>
      <c r="J48" s="60">
        <v>2575.98</v>
      </c>
      <c r="K48" s="60">
        <v>13.47</v>
      </c>
      <c r="L48" s="59">
        <v>8.1999999999999993</v>
      </c>
      <c r="M48" s="59">
        <v>5</v>
      </c>
      <c r="N48" s="59">
        <v>5</v>
      </c>
    </row>
    <row r="49" spans="1:14" ht="15.6" x14ac:dyDescent="0.3">
      <c r="A49" s="69" t="s">
        <v>98</v>
      </c>
      <c r="B49" s="71">
        <v>3225.76</v>
      </c>
      <c r="C49" s="53">
        <v>4011.18</v>
      </c>
      <c r="D49" s="54">
        <v>3624.24</v>
      </c>
      <c r="E49" s="55">
        <v>4135.05</v>
      </c>
      <c r="F49" s="56">
        <v>4298.0600000000004</v>
      </c>
      <c r="G49" s="56">
        <v>8526</v>
      </c>
      <c r="H49" s="55">
        <v>12113.77</v>
      </c>
      <c r="I49" s="67">
        <v>5212.24</v>
      </c>
      <c r="J49" s="56">
        <v>6505.58</v>
      </c>
      <c r="K49" s="56">
        <v>6592.02</v>
      </c>
      <c r="L49" s="55">
        <v>6708.31</v>
      </c>
      <c r="M49" s="55">
        <v>12870.32</v>
      </c>
      <c r="N49" s="55">
        <v>12167.36</v>
      </c>
    </row>
    <row r="50" spans="1:14" ht="15.6" x14ac:dyDescent="0.3">
      <c r="A50" s="48" t="s">
        <v>99</v>
      </c>
      <c r="B50" s="64">
        <v>81.63</v>
      </c>
      <c r="C50" s="58">
        <v>9.51</v>
      </c>
      <c r="D50" s="63">
        <v>75.489999999999995</v>
      </c>
      <c r="E50" s="59">
        <v>179.39</v>
      </c>
      <c r="F50" s="60">
        <v>8.98</v>
      </c>
      <c r="G50" s="60">
        <v>23.34</v>
      </c>
      <c r="H50" s="59">
        <v>52</v>
      </c>
      <c r="I50" s="61">
        <v>71.72</v>
      </c>
      <c r="J50" s="60">
        <v>237.69</v>
      </c>
      <c r="K50" s="60">
        <v>436.42</v>
      </c>
      <c r="L50" s="59">
        <v>609.85</v>
      </c>
      <c r="M50" s="59">
        <v>570.85</v>
      </c>
      <c r="N50" s="59">
        <v>661.23</v>
      </c>
    </row>
    <row r="51" spans="1:14" ht="15.6" x14ac:dyDescent="0.3">
      <c r="A51" s="48" t="s">
        <v>100</v>
      </c>
      <c r="B51" s="62" t="s">
        <v>55</v>
      </c>
      <c r="C51" s="62" t="s">
        <v>55</v>
      </c>
      <c r="D51" s="62" t="s">
        <v>55</v>
      </c>
      <c r="E51" s="62" t="s">
        <v>55</v>
      </c>
      <c r="F51" s="62" t="s">
        <v>55</v>
      </c>
      <c r="G51" s="62" t="s">
        <v>55</v>
      </c>
      <c r="H51" s="62" t="s">
        <v>55</v>
      </c>
      <c r="I51" s="62" t="s">
        <v>55</v>
      </c>
      <c r="J51" s="62" t="s">
        <v>55</v>
      </c>
      <c r="K51" s="60" t="s">
        <v>55</v>
      </c>
      <c r="L51" s="59">
        <v>0</v>
      </c>
      <c r="M51" s="59">
        <v>7283.01</v>
      </c>
      <c r="N51" s="59">
        <v>2995</v>
      </c>
    </row>
    <row r="52" spans="1:14" ht="15.6" x14ac:dyDescent="0.3">
      <c r="A52" s="48" t="s">
        <v>101</v>
      </c>
      <c r="B52" s="64">
        <v>344.96</v>
      </c>
      <c r="C52" s="58">
        <v>32.49</v>
      </c>
      <c r="D52" s="63">
        <v>51.81</v>
      </c>
      <c r="E52" s="59">
        <v>36.29</v>
      </c>
      <c r="F52" s="60">
        <v>84.85</v>
      </c>
      <c r="G52" s="60">
        <v>73.34</v>
      </c>
      <c r="H52" s="59">
        <v>81.39</v>
      </c>
      <c r="I52" s="61">
        <v>51.81</v>
      </c>
      <c r="J52" s="60">
        <v>52.84</v>
      </c>
      <c r="K52" s="60">
        <v>58.22</v>
      </c>
      <c r="L52" s="59">
        <v>75.27</v>
      </c>
      <c r="M52" s="59">
        <v>45.22</v>
      </c>
      <c r="N52" s="59">
        <v>78.44</v>
      </c>
    </row>
    <row r="53" spans="1:14" ht="15.6" x14ac:dyDescent="0.3">
      <c r="A53" s="48" t="s">
        <v>102</v>
      </c>
      <c r="B53" s="62" t="s">
        <v>55</v>
      </c>
      <c r="C53" s="62" t="s">
        <v>55</v>
      </c>
      <c r="D53" s="62" t="s">
        <v>55</v>
      </c>
      <c r="E53" s="62" t="s">
        <v>55</v>
      </c>
      <c r="F53" s="62" t="s">
        <v>55</v>
      </c>
      <c r="G53" s="62" t="s">
        <v>55</v>
      </c>
      <c r="H53" s="62" t="s">
        <v>55</v>
      </c>
      <c r="I53" s="62" t="s">
        <v>55</v>
      </c>
      <c r="J53" s="62" t="s">
        <v>55</v>
      </c>
      <c r="K53" s="60">
        <v>0</v>
      </c>
      <c r="L53" s="59">
        <v>0</v>
      </c>
      <c r="M53" s="59">
        <v>0</v>
      </c>
      <c r="N53" s="59">
        <v>0</v>
      </c>
    </row>
    <row r="54" spans="1:14" ht="15.6" x14ac:dyDescent="0.3">
      <c r="A54" s="48" t="s">
        <v>103</v>
      </c>
      <c r="B54" s="64">
        <v>248.9</v>
      </c>
      <c r="C54" s="62" t="s">
        <v>55</v>
      </c>
      <c r="D54" s="62" t="s">
        <v>55</v>
      </c>
      <c r="E54" s="59">
        <v>1063.5899999999999</v>
      </c>
      <c r="F54" s="60">
        <v>-49.22</v>
      </c>
      <c r="G54" s="62" t="s">
        <v>55</v>
      </c>
      <c r="H54" s="59">
        <v>0</v>
      </c>
      <c r="I54" s="62" t="s">
        <v>55</v>
      </c>
      <c r="J54" s="60">
        <v>0</v>
      </c>
      <c r="K54" s="60">
        <v>0</v>
      </c>
      <c r="L54" s="59">
        <v>91.64</v>
      </c>
      <c r="M54" s="59">
        <v>49.86</v>
      </c>
      <c r="N54" s="59">
        <v>0.05</v>
      </c>
    </row>
    <row r="55" spans="1:14" ht="15.6" x14ac:dyDescent="0.3">
      <c r="A55" s="48" t="s">
        <v>104</v>
      </c>
      <c r="B55" s="64">
        <v>17.940000000000001</v>
      </c>
      <c r="C55" s="58">
        <v>225.22</v>
      </c>
      <c r="D55" s="63">
        <v>56.08</v>
      </c>
      <c r="E55" s="59">
        <v>86.25</v>
      </c>
      <c r="F55" s="60">
        <v>400.04</v>
      </c>
      <c r="G55" s="60">
        <v>176.32</v>
      </c>
      <c r="H55" s="59">
        <v>183.85</v>
      </c>
      <c r="I55" s="61">
        <v>225.54</v>
      </c>
      <c r="J55" s="60">
        <v>210.09</v>
      </c>
      <c r="K55" s="60">
        <v>319.11</v>
      </c>
      <c r="L55" s="59">
        <v>493.07</v>
      </c>
      <c r="M55" s="59">
        <v>226.27</v>
      </c>
      <c r="N55" s="59">
        <v>287.95999999999998</v>
      </c>
    </row>
    <row r="56" spans="1:14" ht="15.6" x14ac:dyDescent="0.3">
      <c r="A56" s="48" t="s">
        <v>105</v>
      </c>
      <c r="B56" s="64">
        <v>109.6</v>
      </c>
      <c r="C56" s="58">
        <v>73</v>
      </c>
      <c r="D56" s="63">
        <v>113.88</v>
      </c>
      <c r="E56" s="59">
        <v>0</v>
      </c>
      <c r="F56" s="60">
        <v>10</v>
      </c>
      <c r="G56" s="60">
        <v>49.54</v>
      </c>
      <c r="H56" s="59">
        <v>181.05</v>
      </c>
      <c r="I56" s="61">
        <v>92.95</v>
      </c>
      <c r="J56" s="60">
        <v>78.41</v>
      </c>
      <c r="K56" s="60">
        <v>0</v>
      </c>
      <c r="L56" s="59">
        <v>0</v>
      </c>
      <c r="M56" s="59">
        <v>0.02</v>
      </c>
      <c r="N56" s="59">
        <v>0.02</v>
      </c>
    </row>
    <row r="57" spans="1:14" ht="15.6" x14ac:dyDescent="0.3">
      <c r="A57" s="48" t="s">
        <v>106</v>
      </c>
      <c r="B57" s="64">
        <v>1322.73</v>
      </c>
      <c r="C57" s="58">
        <v>1710.76</v>
      </c>
      <c r="D57" s="63">
        <v>2026.97</v>
      </c>
      <c r="E57" s="59">
        <v>2266.9499999999998</v>
      </c>
      <c r="F57" s="60">
        <v>2647.27</v>
      </c>
      <c r="G57" s="60">
        <v>2400.75</v>
      </c>
      <c r="H57" s="59">
        <v>3028.01</v>
      </c>
      <c r="I57" s="61">
        <v>2492.6799999999998</v>
      </c>
      <c r="J57" s="60">
        <v>3398.72</v>
      </c>
      <c r="K57" s="60">
        <v>3561.13</v>
      </c>
      <c r="L57" s="59">
        <v>3294.01</v>
      </c>
      <c r="M57" s="59">
        <v>2808.5</v>
      </c>
      <c r="N57" s="59">
        <v>2456.1799999999998</v>
      </c>
    </row>
    <row r="58" spans="1:14" ht="15.6" x14ac:dyDescent="0.3">
      <c r="A58" s="48" t="s">
        <v>107</v>
      </c>
      <c r="B58" s="68" t="s">
        <v>54</v>
      </c>
      <c r="C58" s="58">
        <v>0.2</v>
      </c>
      <c r="D58" s="63">
        <v>0.01</v>
      </c>
      <c r="E58" s="59">
        <v>2.58</v>
      </c>
      <c r="F58" s="60">
        <v>496.14</v>
      </c>
      <c r="G58" s="60">
        <v>702.71</v>
      </c>
      <c r="H58" s="59">
        <v>1089.8699999999999</v>
      </c>
      <c r="I58" s="61">
        <v>777.54</v>
      </c>
      <c r="J58" s="60">
        <v>1677.83</v>
      </c>
      <c r="K58" s="60">
        <v>1717.14</v>
      </c>
      <c r="L58" s="59">
        <v>1644.47</v>
      </c>
      <c r="M58" s="59">
        <v>1386.59</v>
      </c>
      <c r="N58" s="59">
        <v>5688.47</v>
      </c>
    </row>
    <row r="59" spans="1:14" ht="15.6" x14ac:dyDescent="0.3">
      <c r="A59" s="48" t="s">
        <v>108</v>
      </c>
      <c r="B59" s="64">
        <v>1100</v>
      </c>
      <c r="C59" s="58">
        <v>1960</v>
      </c>
      <c r="D59" s="63">
        <v>1300</v>
      </c>
      <c r="E59" s="59">
        <v>500</v>
      </c>
      <c r="F59" s="60">
        <v>700</v>
      </c>
      <c r="G59" s="60">
        <v>5100</v>
      </c>
      <c r="H59" s="59">
        <v>7497.6</v>
      </c>
      <c r="I59" s="61">
        <v>1500</v>
      </c>
      <c r="J59" s="60">
        <v>850</v>
      </c>
      <c r="K59" s="60">
        <v>500</v>
      </c>
      <c r="L59" s="59">
        <v>500</v>
      </c>
      <c r="M59" s="59">
        <v>500</v>
      </c>
      <c r="N59" s="59">
        <v>0.01</v>
      </c>
    </row>
    <row r="60" spans="1:14" ht="15.6" x14ac:dyDescent="0.3">
      <c r="A60" s="69" t="s">
        <v>109</v>
      </c>
      <c r="B60" s="66">
        <v>48305.1</v>
      </c>
      <c r="C60" s="53">
        <v>52768.66</v>
      </c>
      <c r="D60" s="54">
        <v>68249.62</v>
      </c>
      <c r="E60" s="55">
        <v>92084.800000000003</v>
      </c>
      <c r="F60" s="56">
        <v>99016.57</v>
      </c>
      <c r="G60" s="56">
        <v>126787.65</v>
      </c>
      <c r="H60" s="55">
        <v>138894.70000000001</v>
      </c>
      <c r="I60" s="67">
        <v>122449.35</v>
      </c>
      <c r="J60" s="56">
        <v>297124.32</v>
      </c>
      <c r="K60" s="56">
        <v>370536.16</v>
      </c>
      <c r="L60" s="55">
        <v>514475.22</v>
      </c>
      <c r="M60" s="55">
        <v>512183.46</v>
      </c>
      <c r="N60" s="55">
        <v>512582.76</v>
      </c>
    </row>
    <row r="61" spans="1:14" ht="15.6" x14ac:dyDescent="0.3">
      <c r="A61" s="48" t="s">
        <v>110</v>
      </c>
      <c r="B61" s="64">
        <v>26124.52</v>
      </c>
      <c r="C61" s="58">
        <v>29199.79</v>
      </c>
      <c r="D61" s="72">
        <v>35007.870000000003</v>
      </c>
      <c r="E61" s="59">
        <v>45231.63</v>
      </c>
      <c r="F61" s="60">
        <v>43285.27</v>
      </c>
      <c r="G61" s="60">
        <v>52102.61</v>
      </c>
      <c r="H61" s="59">
        <v>67839.86</v>
      </c>
      <c r="I61" s="61">
        <v>29909.58</v>
      </c>
      <c r="J61" s="60">
        <v>117231.73</v>
      </c>
      <c r="K61" s="60">
        <v>159169.22</v>
      </c>
      <c r="L61" s="59">
        <v>242537.91</v>
      </c>
      <c r="M61" s="59">
        <v>252337.84</v>
      </c>
      <c r="N61" s="59">
        <v>251950.81</v>
      </c>
    </row>
    <row r="62" spans="1:14" ht="15.6" x14ac:dyDescent="0.3">
      <c r="A62" s="48" t="s">
        <v>111</v>
      </c>
      <c r="B62" s="64">
        <v>947.88</v>
      </c>
      <c r="C62" s="58">
        <v>921.37</v>
      </c>
      <c r="D62" s="72"/>
      <c r="E62" s="59">
        <v>0</v>
      </c>
      <c r="F62" s="60">
        <v>132.28</v>
      </c>
      <c r="G62" s="60">
        <v>735.06</v>
      </c>
      <c r="H62" s="59">
        <v>1.9</v>
      </c>
      <c r="I62" s="61">
        <v>16.11</v>
      </c>
      <c r="J62" s="60">
        <v>38.81</v>
      </c>
      <c r="K62" s="60">
        <v>86.93</v>
      </c>
      <c r="L62" s="59">
        <v>110.55</v>
      </c>
      <c r="M62" s="59">
        <v>39.46</v>
      </c>
      <c r="N62" s="59">
        <v>49.19</v>
      </c>
    </row>
    <row r="63" spans="1:14" ht="15.6" x14ac:dyDescent="0.3">
      <c r="A63" s="48" t="s">
        <v>112</v>
      </c>
      <c r="B63" s="64">
        <v>147.76</v>
      </c>
      <c r="C63" s="58">
        <v>185.65</v>
      </c>
      <c r="D63" s="63">
        <v>189.76</v>
      </c>
      <c r="E63" s="59">
        <v>316.70999999999998</v>
      </c>
      <c r="F63" s="60">
        <v>171.77</v>
      </c>
      <c r="G63" s="60">
        <v>177.77</v>
      </c>
      <c r="H63" s="59">
        <v>241.61</v>
      </c>
      <c r="I63" s="61">
        <v>159.99</v>
      </c>
      <c r="J63" s="60">
        <v>137.88999999999999</v>
      </c>
      <c r="K63" s="60">
        <v>124.15</v>
      </c>
      <c r="L63" s="59">
        <v>122.1</v>
      </c>
      <c r="M63" s="59">
        <v>40.01</v>
      </c>
      <c r="N63" s="59">
        <v>56</v>
      </c>
    </row>
    <row r="64" spans="1:14" ht="15.6" x14ac:dyDescent="0.3">
      <c r="A64" s="48" t="s">
        <v>113</v>
      </c>
      <c r="B64" s="64">
        <v>61.41</v>
      </c>
      <c r="C64" s="58">
        <v>3.03</v>
      </c>
      <c r="D64" s="63">
        <v>2.31</v>
      </c>
      <c r="E64" s="59">
        <v>7.59</v>
      </c>
      <c r="F64" s="60">
        <v>2.88</v>
      </c>
      <c r="G64" s="60">
        <v>-22.52</v>
      </c>
      <c r="H64" s="59">
        <v>18.239999999999998</v>
      </c>
      <c r="I64" s="61">
        <v>9.11</v>
      </c>
      <c r="J64" s="60">
        <v>9.23</v>
      </c>
      <c r="K64" s="60">
        <v>10.94</v>
      </c>
      <c r="L64" s="59">
        <v>13.72</v>
      </c>
      <c r="M64" s="59">
        <v>38.119999999999997</v>
      </c>
      <c r="N64" s="59">
        <v>27.5</v>
      </c>
    </row>
    <row r="65" spans="1:14" ht="15.6" x14ac:dyDescent="0.3">
      <c r="A65" s="48" t="s">
        <v>114</v>
      </c>
      <c r="B65" s="64">
        <v>6054.63</v>
      </c>
      <c r="C65" s="58">
        <v>5814.94</v>
      </c>
      <c r="D65" s="63">
        <v>3361.02</v>
      </c>
      <c r="E65" s="59">
        <v>2709.27</v>
      </c>
      <c r="F65" s="60">
        <v>1836.84</v>
      </c>
      <c r="G65" s="60">
        <v>3975.87</v>
      </c>
      <c r="H65" s="59">
        <v>21.36</v>
      </c>
      <c r="I65" s="61">
        <v>35.9</v>
      </c>
      <c r="J65" s="60">
        <v>62421.99</v>
      </c>
      <c r="K65" s="60">
        <v>75.44</v>
      </c>
      <c r="L65" s="59">
        <v>741.31</v>
      </c>
      <c r="M65" s="59">
        <v>88.05</v>
      </c>
      <c r="N65" s="59">
        <v>45</v>
      </c>
    </row>
    <row r="66" spans="1:14" ht="15.6" x14ac:dyDescent="0.3">
      <c r="A66" s="48" t="s">
        <v>115</v>
      </c>
      <c r="B66" s="64">
        <v>14890.65</v>
      </c>
      <c r="C66" s="58">
        <v>16572.39</v>
      </c>
      <c r="D66" s="63">
        <v>29636.400000000001</v>
      </c>
      <c r="E66" s="59">
        <v>43774.48</v>
      </c>
      <c r="F66" s="60">
        <v>53524.63</v>
      </c>
      <c r="G66" s="60">
        <v>69760.86</v>
      </c>
      <c r="H66" s="59">
        <v>70713.649999999994</v>
      </c>
      <c r="I66" s="61">
        <v>92293.6</v>
      </c>
      <c r="J66" s="60">
        <v>116787.77</v>
      </c>
      <c r="K66" s="60">
        <v>210495.94</v>
      </c>
      <c r="L66" s="59">
        <v>269865.27</v>
      </c>
      <c r="M66" s="59">
        <v>258853.05</v>
      </c>
      <c r="N66" s="59">
        <v>259117.56</v>
      </c>
    </row>
    <row r="67" spans="1:14" ht="15.6" x14ac:dyDescent="0.3">
      <c r="A67" s="48" t="s">
        <v>116</v>
      </c>
      <c r="B67" s="63" t="s">
        <v>54</v>
      </c>
      <c r="C67" s="63" t="s">
        <v>54</v>
      </c>
      <c r="D67" s="63" t="s">
        <v>54</v>
      </c>
      <c r="E67" s="59">
        <v>8.09</v>
      </c>
      <c r="F67" s="60">
        <v>2.2799999999999998</v>
      </c>
      <c r="G67" s="60">
        <v>8</v>
      </c>
      <c r="H67" s="59">
        <v>8</v>
      </c>
      <c r="I67" s="61">
        <v>5.5</v>
      </c>
      <c r="J67" s="60">
        <v>5</v>
      </c>
      <c r="K67" s="60">
        <v>0</v>
      </c>
      <c r="L67" s="59">
        <v>30</v>
      </c>
      <c r="M67" s="59">
        <v>30</v>
      </c>
      <c r="N67" s="59">
        <v>30</v>
      </c>
    </row>
    <row r="68" spans="1:14" ht="15.6" x14ac:dyDescent="0.3">
      <c r="A68" s="48" t="s">
        <v>117</v>
      </c>
      <c r="B68" s="60" t="s">
        <v>55</v>
      </c>
      <c r="C68" s="60" t="s">
        <v>55</v>
      </c>
      <c r="D68" s="60" t="s">
        <v>55</v>
      </c>
      <c r="E68" s="60" t="s">
        <v>55</v>
      </c>
      <c r="F68" s="60" t="s">
        <v>55</v>
      </c>
      <c r="G68" s="60" t="s">
        <v>55</v>
      </c>
      <c r="H68" s="59" t="s">
        <v>55</v>
      </c>
      <c r="I68" s="65" t="s">
        <v>54</v>
      </c>
      <c r="J68" s="60">
        <v>467.54</v>
      </c>
      <c r="K68" s="60">
        <v>544.30999999999995</v>
      </c>
      <c r="L68" s="59">
        <v>1010.5</v>
      </c>
      <c r="M68" s="59">
        <v>707.61</v>
      </c>
      <c r="N68" s="59">
        <v>1254.81</v>
      </c>
    </row>
    <row r="69" spans="1:14" ht="15.6" x14ac:dyDescent="0.3">
      <c r="A69" s="48" t="s">
        <v>118</v>
      </c>
      <c r="B69" s="64">
        <v>78.25</v>
      </c>
      <c r="C69" s="58">
        <v>71.489999999999995</v>
      </c>
      <c r="D69" s="63">
        <v>52.26</v>
      </c>
      <c r="E69" s="59">
        <v>37.03</v>
      </c>
      <c r="F69" s="60">
        <v>60.62</v>
      </c>
      <c r="G69" s="60">
        <v>50</v>
      </c>
      <c r="H69" s="59">
        <v>50.08</v>
      </c>
      <c r="I69" s="61">
        <v>19.559999999999999</v>
      </c>
      <c r="J69" s="60">
        <v>24.36</v>
      </c>
      <c r="K69" s="60">
        <v>29.23</v>
      </c>
      <c r="L69" s="59">
        <v>43.86</v>
      </c>
      <c r="M69" s="59">
        <v>49.32</v>
      </c>
      <c r="N69" s="59">
        <v>51.89</v>
      </c>
    </row>
    <row r="70" spans="1:14" ht="15.6" x14ac:dyDescent="0.3">
      <c r="A70" s="69" t="s">
        <v>119</v>
      </c>
      <c r="B70" s="66">
        <v>1375.64</v>
      </c>
      <c r="C70" s="53">
        <v>1480.74</v>
      </c>
      <c r="D70" s="54">
        <v>3548.16</v>
      </c>
      <c r="E70" s="55">
        <v>3477.05</v>
      </c>
      <c r="F70" s="56">
        <v>4507.2700000000004</v>
      </c>
      <c r="G70" s="56">
        <v>2570.5</v>
      </c>
      <c r="H70" s="55">
        <v>5220.05</v>
      </c>
      <c r="I70" s="67">
        <v>4928.53</v>
      </c>
      <c r="J70" s="56">
        <v>3941.81</v>
      </c>
      <c r="K70" s="56">
        <v>55618.29</v>
      </c>
      <c r="L70" s="55">
        <v>60517.07</v>
      </c>
      <c r="M70" s="55">
        <v>75048.570000000007</v>
      </c>
      <c r="N70" s="55">
        <v>50193.51</v>
      </c>
    </row>
    <row r="71" spans="1:14" ht="15.6" x14ac:dyDescent="0.3">
      <c r="A71" s="48" t="s">
        <v>120</v>
      </c>
      <c r="B71" s="64">
        <v>268.97000000000003</v>
      </c>
      <c r="C71" s="58">
        <v>172.96</v>
      </c>
      <c r="D71" s="63">
        <v>335.18</v>
      </c>
      <c r="E71" s="59">
        <v>229.45</v>
      </c>
      <c r="F71" s="60">
        <v>638.26</v>
      </c>
      <c r="G71" s="60">
        <v>511.27</v>
      </c>
      <c r="H71" s="59">
        <v>395.56</v>
      </c>
      <c r="I71" s="61">
        <v>677.42</v>
      </c>
      <c r="J71" s="60">
        <v>685.55</v>
      </c>
      <c r="K71" s="60">
        <v>1076.67</v>
      </c>
      <c r="L71" s="59">
        <v>1136.8900000000001</v>
      </c>
      <c r="M71" s="59">
        <v>893.88</v>
      </c>
      <c r="N71" s="59">
        <v>859.89</v>
      </c>
    </row>
    <row r="72" spans="1:14" ht="15.6" x14ac:dyDescent="0.3">
      <c r="A72" s="48" t="s">
        <v>121</v>
      </c>
      <c r="B72" s="64">
        <v>890.14</v>
      </c>
      <c r="C72" s="58">
        <v>930.79</v>
      </c>
      <c r="D72" s="63">
        <v>933.17</v>
      </c>
      <c r="E72" s="60">
        <v>0</v>
      </c>
      <c r="F72" s="60">
        <v>0</v>
      </c>
      <c r="G72" s="60">
        <v>0</v>
      </c>
      <c r="H72" s="60">
        <v>0</v>
      </c>
      <c r="I72" s="60">
        <v>0</v>
      </c>
      <c r="J72" s="60">
        <v>0</v>
      </c>
      <c r="K72" s="60">
        <v>0</v>
      </c>
      <c r="L72" s="59"/>
      <c r="M72" s="59"/>
      <c r="N72" s="59"/>
    </row>
    <row r="73" spans="1:14" ht="15.6" x14ac:dyDescent="0.3">
      <c r="A73" s="48" t="s">
        <v>122</v>
      </c>
      <c r="B73" s="64">
        <v>216.53</v>
      </c>
      <c r="C73" s="58">
        <v>376.99</v>
      </c>
      <c r="D73" s="63">
        <v>2279.81</v>
      </c>
      <c r="E73" s="59">
        <v>3247.6</v>
      </c>
      <c r="F73" s="60">
        <v>3869.01</v>
      </c>
      <c r="G73" s="60">
        <v>2059.23</v>
      </c>
      <c r="H73" s="59">
        <v>4824.49</v>
      </c>
      <c r="I73" s="61">
        <v>4251.1099999999997</v>
      </c>
      <c r="J73" s="60">
        <v>3256.26</v>
      </c>
      <c r="K73" s="60">
        <v>54541.62</v>
      </c>
      <c r="L73" s="59">
        <v>59380.18</v>
      </c>
      <c r="M73" s="59">
        <v>74154.69</v>
      </c>
      <c r="N73" s="59">
        <v>49333.62</v>
      </c>
    </row>
    <row r="74" spans="1:14" ht="15.6" x14ac:dyDescent="0.3">
      <c r="A74" s="69" t="s">
        <v>123</v>
      </c>
      <c r="B74" s="66">
        <v>3078.35</v>
      </c>
      <c r="C74" s="53">
        <v>3186.36</v>
      </c>
      <c r="D74" s="54">
        <v>4036.82</v>
      </c>
      <c r="E74" s="55">
        <v>5228.6499999999996</v>
      </c>
      <c r="F74" s="56">
        <v>5373.08</v>
      </c>
      <c r="G74" s="56">
        <v>7294.96</v>
      </c>
      <c r="H74" s="55">
        <v>9221.6</v>
      </c>
      <c r="I74" s="67">
        <v>6029.43</v>
      </c>
      <c r="J74" s="56">
        <v>9995.41</v>
      </c>
      <c r="K74" s="56">
        <v>7791.68</v>
      </c>
      <c r="L74" s="55">
        <v>7157.09</v>
      </c>
      <c r="M74" s="55">
        <v>6397.83</v>
      </c>
      <c r="N74" s="55">
        <v>8123.9</v>
      </c>
    </row>
    <row r="75" spans="1:14" ht="15.6" x14ac:dyDescent="0.3">
      <c r="A75" s="48" t="s">
        <v>124</v>
      </c>
      <c r="B75" s="64">
        <v>1460.51</v>
      </c>
      <c r="C75" s="58">
        <v>1570.33</v>
      </c>
      <c r="D75" s="63">
        <v>1861.99</v>
      </c>
      <c r="E75" s="59">
        <v>1590.33</v>
      </c>
      <c r="F75" s="60">
        <v>1518.35</v>
      </c>
      <c r="G75" s="60">
        <v>1643.23</v>
      </c>
      <c r="H75" s="59">
        <v>1956.96</v>
      </c>
      <c r="I75" s="61">
        <v>1283.1500000000001</v>
      </c>
      <c r="J75" s="60">
        <v>3014.21</v>
      </c>
      <c r="K75" s="60">
        <v>3426.01</v>
      </c>
      <c r="L75" s="59">
        <v>2616.44</v>
      </c>
      <c r="M75" s="59">
        <v>1408.07</v>
      </c>
      <c r="N75" s="59">
        <v>1490.81</v>
      </c>
    </row>
    <row r="76" spans="1:14" ht="15.6" x14ac:dyDescent="0.3">
      <c r="A76" s="48" t="s">
        <v>125</v>
      </c>
      <c r="B76" s="64">
        <v>1550.92</v>
      </c>
      <c r="C76" s="58">
        <v>1520.07</v>
      </c>
      <c r="D76" s="63">
        <v>2110.64</v>
      </c>
      <c r="E76" s="59">
        <v>3587.07</v>
      </c>
      <c r="F76" s="60">
        <v>3796.05</v>
      </c>
      <c r="G76" s="60">
        <v>5532.64</v>
      </c>
      <c r="H76" s="59">
        <v>7181.02</v>
      </c>
      <c r="I76" s="61">
        <v>4633.96</v>
      </c>
      <c r="J76" s="60">
        <v>6901.86</v>
      </c>
      <c r="K76" s="60">
        <v>4253.43</v>
      </c>
      <c r="L76" s="59">
        <v>4396.75</v>
      </c>
      <c r="M76" s="59">
        <v>4728.37</v>
      </c>
      <c r="N76" s="59">
        <v>6103.63</v>
      </c>
    </row>
    <row r="77" spans="1:14" ht="15.6" x14ac:dyDescent="0.3">
      <c r="A77" s="48" t="s">
        <v>126</v>
      </c>
      <c r="B77" s="64">
        <v>5.24</v>
      </c>
      <c r="C77" s="58">
        <v>0.26</v>
      </c>
      <c r="D77" s="63">
        <v>1.9</v>
      </c>
      <c r="E77" s="59">
        <v>7.89</v>
      </c>
      <c r="F77" s="60">
        <v>9.9600000000000009</v>
      </c>
      <c r="G77" s="60">
        <v>13.16</v>
      </c>
      <c r="H77" s="59">
        <v>11.23</v>
      </c>
      <c r="I77" s="61">
        <v>5.85</v>
      </c>
      <c r="J77" s="60">
        <v>7.15</v>
      </c>
      <c r="K77" s="60">
        <v>15.81</v>
      </c>
      <c r="L77" s="59">
        <v>55.23</v>
      </c>
      <c r="M77" s="59">
        <v>135</v>
      </c>
      <c r="N77" s="59">
        <v>339.6</v>
      </c>
    </row>
    <row r="78" spans="1:14" ht="15.6" x14ac:dyDescent="0.3">
      <c r="A78" s="48" t="s">
        <v>127</v>
      </c>
      <c r="B78" s="64">
        <v>61.68</v>
      </c>
      <c r="C78" s="58">
        <v>95.7</v>
      </c>
      <c r="D78" s="63">
        <v>62.29</v>
      </c>
      <c r="E78" s="59">
        <v>43.36</v>
      </c>
      <c r="F78" s="60">
        <v>48.72</v>
      </c>
      <c r="G78" s="60">
        <v>105.93</v>
      </c>
      <c r="H78" s="59">
        <v>72.39</v>
      </c>
      <c r="I78" s="61">
        <v>106.47</v>
      </c>
      <c r="J78" s="60">
        <v>72.19</v>
      </c>
      <c r="K78" s="60">
        <v>96.43</v>
      </c>
      <c r="L78" s="59">
        <v>88.67</v>
      </c>
      <c r="M78" s="59">
        <v>126.39</v>
      </c>
      <c r="N78" s="59">
        <v>189.86</v>
      </c>
    </row>
    <row r="79" spans="1:14" ht="15.6" x14ac:dyDescent="0.3">
      <c r="A79" s="69" t="s">
        <v>128</v>
      </c>
      <c r="B79" s="66">
        <v>18827.240000000002</v>
      </c>
      <c r="C79" s="53">
        <v>13609.48</v>
      </c>
      <c r="D79" s="54">
        <v>98628.75</v>
      </c>
      <c r="E79" s="55">
        <v>32729.67</v>
      </c>
      <c r="F79" s="56">
        <v>87636.37</v>
      </c>
      <c r="G79" s="56">
        <v>123786.79</v>
      </c>
      <c r="H79" s="55">
        <v>81044.789999999994</v>
      </c>
      <c r="I79" s="67">
        <v>46793.66</v>
      </c>
      <c r="J79" s="56">
        <v>40831.910000000003</v>
      </c>
      <c r="K79" s="56">
        <v>1161.19</v>
      </c>
      <c r="L79" s="55">
        <v>19744.18</v>
      </c>
      <c r="M79" s="55">
        <v>15701.37</v>
      </c>
      <c r="N79" s="55">
        <v>108746.25</v>
      </c>
    </row>
    <row r="80" spans="1:14" ht="15.6" x14ac:dyDescent="0.3">
      <c r="A80" s="48" t="s">
        <v>129</v>
      </c>
      <c r="B80" s="64">
        <v>2</v>
      </c>
      <c r="C80" s="58">
        <v>1.7</v>
      </c>
      <c r="D80" s="63">
        <v>0.62</v>
      </c>
      <c r="E80" s="59">
        <v>0</v>
      </c>
      <c r="F80" s="62" t="s">
        <v>55</v>
      </c>
      <c r="G80" s="62" t="s">
        <v>55</v>
      </c>
      <c r="H80" s="55" t="s">
        <v>55</v>
      </c>
      <c r="I80" s="62" t="s">
        <v>55</v>
      </c>
      <c r="J80" s="60" t="s">
        <v>55</v>
      </c>
      <c r="K80" s="60">
        <v>0</v>
      </c>
      <c r="L80" s="59">
        <v>0</v>
      </c>
      <c r="M80" s="59">
        <v>4.49</v>
      </c>
      <c r="N80" s="59">
        <v>6.13</v>
      </c>
    </row>
    <row r="81" spans="1:14" ht="15.6" x14ac:dyDescent="0.3">
      <c r="A81" s="48" t="s">
        <v>130</v>
      </c>
      <c r="B81" s="64">
        <v>849.64</v>
      </c>
      <c r="C81" s="58">
        <v>274.20999999999998</v>
      </c>
      <c r="D81" s="63">
        <v>49.66</v>
      </c>
      <c r="E81" s="59">
        <v>60</v>
      </c>
      <c r="F81" s="60">
        <v>62.5</v>
      </c>
      <c r="G81" s="60">
        <v>-5.03</v>
      </c>
      <c r="H81" s="59">
        <v>-12.57</v>
      </c>
      <c r="I81" s="61">
        <v>-6.06</v>
      </c>
      <c r="J81" s="60">
        <v>-7.24</v>
      </c>
      <c r="K81" s="60">
        <v>0</v>
      </c>
      <c r="L81" s="59">
        <v>2.61</v>
      </c>
      <c r="M81" s="59">
        <v>2.99</v>
      </c>
      <c r="N81" s="59">
        <v>3</v>
      </c>
    </row>
    <row r="82" spans="1:14" ht="15.6" x14ac:dyDescent="0.3">
      <c r="A82" s="48" t="s">
        <v>131</v>
      </c>
      <c r="B82" s="64">
        <v>77.069999999999993</v>
      </c>
      <c r="C82" s="58">
        <v>51.72</v>
      </c>
      <c r="D82" s="63">
        <v>91.01</v>
      </c>
      <c r="E82" s="59">
        <v>66.59</v>
      </c>
      <c r="F82" s="60">
        <v>45.43</v>
      </c>
      <c r="G82" s="60">
        <v>71.239999999999995</v>
      </c>
      <c r="H82" s="59">
        <v>93.98</v>
      </c>
      <c r="I82" s="61">
        <v>63.79</v>
      </c>
      <c r="J82" s="60">
        <v>92.39</v>
      </c>
      <c r="K82" s="60">
        <v>72.48</v>
      </c>
      <c r="L82" s="59">
        <v>93.1</v>
      </c>
      <c r="M82" s="59">
        <v>1029.5999999999999</v>
      </c>
      <c r="N82" s="59">
        <v>535.47</v>
      </c>
    </row>
    <row r="83" spans="1:14" ht="15.6" x14ac:dyDescent="0.3">
      <c r="A83" s="48" t="s">
        <v>132</v>
      </c>
      <c r="B83" s="64">
        <v>16100</v>
      </c>
      <c r="C83" s="58">
        <v>7090</v>
      </c>
      <c r="D83" s="63">
        <v>25700.04</v>
      </c>
      <c r="E83" s="59">
        <v>26422.18</v>
      </c>
      <c r="F83" s="60">
        <v>90175.35</v>
      </c>
      <c r="G83" s="60">
        <v>109466.29</v>
      </c>
      <c r="H83" s="59">
        <v>75721.279999999999</v>
      </c>
      <c r="I83" s="61">
        <v>36042.720000000001</v>
      </c>
      <c r="J83" s="60">
        <v>33488.14</v>
      </c>
      <c r="K83" s="60">
        <v>3489.34</v>
      </c>
      <c r="L83" s="59">
        <v>11958.48</v>
      </c>
      <c r="M83" s="59">
        <v>3310</v>
      </c>
      <c r="N83" s="59">
        <v>4500.0200000000004</v>
      </c>
    </row>
    <row r="84" spans="1:14" ht="15.6" x14ac:dyDescent="0.3">
      <c r="A84" s="48" t="s">
        <v>133</v>
      </c>
      <c r="B84" s="64">
        <v>844.06</v>
      </c>
      <c r="C84" s="58">
        <v>5186.1000000000004</v>
      </c>
      <c r="D84" s="63">
        <v>71636.88</v>
      </c>
      <c r="E84" s="59">
        <v>5673.61</v>
      </c>
      <c r="F84" s="60">
        <v>-2905.12</v>
      </c>
      <c r="G84" s="60">
        <v>13971.16</v>
      </c>
      <c r="H84" s="59">
        <v>5001.12</v>
      </c>
      <c r="I84" s="61">
        <v>10385.01</v>
      </c>
      <c r="J84" s="60">
        <v>6968.4</v>
      </c>
      <c r="K84" s="60">
        <v>-2601.34</v>
      </c>
      <c r="L84" s="59">
        <v>7309.77</v>
      </c>
      <c r="M84" s="59">
        <v>1539.22</v>
      </c>
      <c r="N84" s="59">
        <v>61291.71</v>
      </c>
    </row>
    <row r="85" spans="1:14" ht="15.6" x14ac:dyDescent="0.3">
      <c r="A85" s="48" t="s">
        <v>134</v>
      </c>
      <c r="B85" s="64">
        <v>954.47</v>
      </c>
      <c r="C85" s="58">
        <v>1005.75</v>
      </c>
      <c r="D85" s="63">
        <v>1150.54</v>
      </c>
      <c r="E85" s="59">
        <v>507.29</v>
      </c>
      <c r="F85" s="60">
        <v>258.20999999999998</v>
      </c>
      <c r="G85" s="60">
        <v>283.13</v>
      </c>
      <c r="H85" s="59">
        <v>240.98</v>
      </c>
      <c r="I85" s="61">
        <v>308.2</v>
      </c>
      <c r="J85" s="60">
        <v>290.22000000000003</v>
      </c>
      <c r="K85" s="60">
        <v>200.71</v>
      </c>
      <c r="L85" s="59">
        <v>380.22</v>
      </c>
      <c r="M85" s="59">
        <v>9815.07</v>
      </c>
      <c r="N85" s="59">
        <v>42409.919999999998</v>
      </c>
    </row>
    <row r="86" spans="1:14" ht="15.6" x14ac:dyDescent="0.3">
      <c r="A86" s="69" t="s">
        <v>135</v>
      </c>
      <c r="B86" s="66">
        <v>1309.58</v>
      </c>
      <c r="C86" s="53">
        <v>1439.87</v>
      </c>
      <c r="D86" s="54">
        <v>1704.6</v>
      </c>
      <c r="E86" s="55">
        <v>1624.1</v>
      </c>
      <c r="F86" s="56">
        <v>2315.85</v>
      </c>
      <c r="G86" s="56">
        <v>1600.64</v>
      </c>
      <c r="H86" s="55">
        <v>1442.64</v>
      </c>
      <c r="I86" s="67">
        <v>1947.76</v>
      </c>
      <c r="J86" s="56">
        <v>3579.62</v>
      </c>
      <c r="K86" s="56">
        <v>3817.18</v>
      </c>
      <c r="L86" s="55">
        <v>4070.71</v>
      </c>
      <c r="M86" s="55">
        <v>4570.91</v>
      </c>
      <c r="N86" s="55">
        <v>4747.6499999999996</v>
      </c>
    </row>
    <row r="87" spans="1:14" ht="15.6" x14ac:dyDescent="0.3">
      <c r="A87" s="69" t="s">
        <v>136</v>
      </c>
      <c r="B87" s="66">
        <v>168844.47</v>
      </c>
      <c r="C87" s="53">
        <v>172085.06</v>
      </c>
      <c r="D87" s="54">
        <v>278866.34000000003</v>
      </c>
      <c r="E87" s="55">
        <v>249471.82</v>
      </c>
      <c r="F87" s="56">
        <v>325115.99</v>
      </c>
      <c r="G87" s="56">
        <v>399522.74</v>
      </c>
      <c r="H87" s="55">
        <v>387744.11</v>
      </c>
      <c r="I87" s="67">
        <v>342948.78</v>
      </c>
      <c r="J87" s="56">
        <v>538140.23</v>
      </c>
      <c r="K87" s="56">
        <v>624757.25</v>
      </c>
      <c r="L87" s="55">
        <v>807180.34</v>
      </c>
      <c r="M87" s="55">
        <v>851881.22</v>
      </c>
      <c r="N87" s="55">
        <v>956245.31</v>
      </c>
    </row>
    <row r="88" spans="1:14" ht="15.6" x14ac:dyDescent="0.3">
      <c r="A88" s="69" t="s">
        <v>137</v>
      </c>
      <c r="B88" s="52"/>
      <c r="C88" s="62"/>
      <c r="D88" s="62"/>
      <c r="E88" s="62"/>
      <c r="F88" s="62"/>
      <c r="G88" s="62"/>
      <c r="H88" s="62"/>
      <c r="I88" s="62"/>
      <c r="J88" s="48"/>
      <c r="K88" s="73"/>
      <c r="L88" s="74" t="s">
        <v>138</v>
      </c>
      <c r="M88" s="74" t="s">
        <v>138</v>
      </c>
      <c r="N88" s="74" t="s">
        <v>138</v>
      </c>
    </row>
    <row r="89" spans="1:14" ht="15.6" x14ac:dyDescent="0.3">
      <c r="A89" s="69" t="s">
        <v>139</v>
      </c>
      <c r="B89" s="52"/>
      <c r="C89" s="62"/>
      <c r="D89" s="62"/>
      <c r="E89" s="62"/>
      <c r="F89" s="62"/>
      <c r="G89" s="62"/>
      <c r="H89" s="62"/>
      <c r="I89" s="62"/>
      <c r="J89" s="48"/>
      <c r="K89" s="73"/>
      <c r="L89" s="74" t="s">
        <v>138</v>
      </c>
      <c r="M89" s="74" t="s">
        <v>138</v>
      </c>
      <c r="N89" s="74" t="s">
        <v>138</v>
      </c>
    </row>
    <row r="90" spans="1:14" ht="15.6" x14ac:dyDescent="0.3">
      <c r="A90" s="48" t="s">
        <v>140</v>
      </c>
      <c r="B90" s="64">
        <v>95006.57</v>
      </c>
      <c r="C90" s="58">
        <v>138924.68</v>
      </c>
      <c r="D90" s="63">
        <v>216250.08</v>
      </c>
      <c r="E90" s="59">
        <v>275013.53999999998</v>
      </c>
      <c r="F90" s="60">
        <v>137271.69</v>
      </c>
      <c r="G90" s="60">
        <v>148265.4</v>
      </c>
      <c r="H90" s="59">
        <v>388835.42</v>
      </c>
      <c r="I90" s="61">
        <v>227208.32000000001</v>
      </c>
      <c r="J90" s="60">
        <v>264335.40999999997</v>
      </c>
      <c r="K90" s="60">
        <v>312740.46999999997</v>
      </c>
      <c r="L90" s="59">
        <v>543639.77</v>
      </c>
      <c r="M90" s="59">
        <v>361422.24</v>
      </c>
      <c r="N90" s="59">
        <v>395666.06</v>
      </c>
    </row>
    <row r="91" spans="1:14" ht="15.6" x14ac:dyDescent="0.3">
      <c r="A91" s="48" t="s">
        <v>141</v>
      </c>
      <c r="B91" s="64">
        <v>46589.54</v>
      </c>
      <c r="C91" s="58">
        <v>45311.19</v>
      </c>
      <c r="D91" s="63">
        <v>3000.3</v>
      </c>
      <c r="E91" s="59">
        <v>0</v>
      </c>
      <c r="F91" s="60">
        <v>99630.07</v>
      </c>
      <c r="G91" s="60">
        <v>28058.99</v>
      </c>
      <c r="H91" s="59">
        <v>12000</v>
      </c>
      <c r="I91" s="61">
        <v>153417.57</v>
      </c>
      <c r="J91" s="60">
        <v>168410.69</v>
      </c>
      <c r="K91" s="60">
        <v>105489.62</v>
      </c>
      <c r="L91" s="59">
        <v>0</v>
      </c>
      <c r="M91" s="59">
        <v>235158.64</v>
      </c>
      <c r="N91" s="59">
        <v>250000</v>
      </c>
    </row>
    <row r="92" spans="1:14" ht="15.6" x14ac:dyDescent="0.3">
      <c r="A92" s="48" t="s">
        <v>142</v>
      </c>
      <c r="B92" s="64">
        <v>2183501.92</v>
      </c>
      <c r="C92" s="58">
        <v>2217261.88</v>
      </c>
      <c r="D92" s="63">
        <v>2414470.11</v>
      </c>
      <c r="E92" s="59">
        <v>3180675.97</v>
      </c>
      <c r="F92" s="60">
        <v>3796169.17</v>
      </c>
      <c r="G92" s="60">
        <v>3599384.28</v>
      </c>
      <c r="H92" s="59">
        <v>3322613.11</v>
      </c>
      <c r="I92" s="61">
        <v>3695125.03</v>
      </c>
      <c r="J92" s="60">
        <v>4421317.88</v>
      </c>
      <c r="K92" s="60">
        <v>4871057.3600000003</v>
      </c>
      <c r="L92" s="59">
        <v>4785271.93</v>
      </c>
      <c r="M92" s="59">
        <v>5750288.2400000002</v>
      </c>
      <c r="N92" s="59">
        <v>6030452.6500000004</v>
      </c>
    </row>
    <row r="93" spans="1:14" ht="15.6" x14ac:dyDescent="0.3">
      <c r="A93" s="48" t="s">
        <v>143</v>
      </c>
      <c r="B93" s="64">
        <v>559423.26</v>
      </c>
      <c r="C93" s="58">
        <v>667112.12</v>
      </c>
      <c r="D93" s="63">
        <v>682773.48</v>
      </c>
      <c r="E93" s="59">
        <v>690582.15</v>
      </c>
      <c r="F93" s="60">
        <v>742174.08</v>
      </c>
      <c r="G93" s="60">
        <v>706707.7</v>
      </c>
      <c r="H93" s="59">
        <v>649072.75</v>
      </c>
      <c r="I93" s="61">
        <v>732774.82</v>
      </c>
      <c r="J93" s="60">
        <v>802464.83</v>
      </c>
      <c r="K93" s="60">
        <v>739748.84</v>
      </c>
      <c r="L93" s="59">
        <v>624263.81999999995</v>
      </c>
      <c r="M93" s="59">
        <v>687745.05</v>
      </c>
      <c r="N93" s="59">
        <v>606191.25</v>
      </c>
    </row>
    <row r="94" spans="1:14" ht="15.6" x14ac:dyDescent="0.3">
      <c r="A94" s="48" t="s">
        <v>144</v>
      </c>
      <c r="B94" s="64">
        <v>125298.91</v>
      </c>
      <c r="C94" s="58">
        <v>146688.24</v>
      </c>
      <c r="D94" s="63">
        <v>161719.01</v>
      </c>
      <c r="E94" s="59">
        <v>166405.74</v>
      </c>
      <c r="F94" s="60">
        <v>183981.05</v>
      </c>
      <c r="G94" s="60">
        <v>225089.11</v>
      </c>
      <c r="H94" s="59">
        <v>283335.51</v>
      </c>
      <c r="I94" s="61">
        <v>507349.73</v>
      </c>
      <c r="J94" s="60">
        <v>394426.49</v>
      </c>
      <c r="K94" s="60">
        <v>496815.33</v>
      </c>
      <c r="L94" s="59">
        <v>555209.29</v>
      </c>
      <c r="M94" s="59">
        <v>446683.21</v>
      </c>
      <c r="N94" s="59">
        <v>484082.34</v>
      </c>
    </row>
    <row r="95" spans="1:14" ht="15.6" x14ac:dyDescent="0.3">
      <c r="A95" s="48" t="s">
        <v>145</v>
      </c>
      <c r="B95" s="75">
        <v>87900.22</v>
      </c>
      <c r="C95" s="58">
        <v>143004.76</v>
      </c>
      <c r="D95" s="63">
        <v>143152.18</v>
      </c>
      <c r="E95" s="59">
        <v>154033.20000000001</v>
      </c>
      <c r="F95" s="60">
        <v>142525.74</v>
      </c>
      <c r="G95" s="60">
        <v>159685</v>
      </c>
      <c r="H95" s="59">
        <v>208896</v>
      </c>
      <c r="I95" s="61">
        <v>217670</v>
      </c>
      <c r="J95" s="60">
        <v>458240</v>
      </c>
      <c r="K95" s="60">
        <v>407796.43</v>
      </c>
      <c r="L95" s="59">
        <v>445283.5</v>
      </c>
      <c r="M95" s="59">
        <v>457486.99</v>
      </c>
      <c r="N95" s="59">
        <v>360809.92</v>
      </c>
    </row>
    <row r="96" spans="1:14" ht="15.6" x14ac:dyDescent="0.3">
      <c r="A96" s="48" t="s">
        <v>146</v>
      </c>
      <c r="B96" s="64">
        <v>107195</v>
      </c>
      <c r="C96" s="58">
        <v>10000</v>
      </c>
      <c r="D96" s="63" t="s">
        <v>54</v>
      </c>
      <c r="E96" s="59">
        <v>0</v>
      </c>
      <c r="F96" s="60">
        <v>150000</v>
      </c>
      <c r="G96" s="60">
        <v>190000</v>
      </c>
      <c r="H96" s="59">
        <v>220000</v>
      </c>
      <c r="I96" s="61">
        <v>160000</v>
      </c>
      <c r="J96" s="60">
        <v>0</v>
      </c>
      <c r="K96" s="60">
        <v>0</v>
      </c>
      <c r="L96" s="59">
        <v>0</v>
      </c>
      <c r="M96" s="59">
        <v>0</v>
      </c>
      <c r="N96" s="59">
        <v>50000</v>
      </c>
    </row>
    <row r="97" spans="1:14" ht="15.6" x14ac:dyDescent="0.3">
      <c r="A97" s="48" t="s">
        <v>147</v>
      </c>
      <c r="B97" s="64">
        <v>1085.01</v>
      </c>
      <c r="C97" s="58">
        <v>316116</v>
      </c>
      <c r="D97" s="63">
        <v>83843</v>
      </c>
      <c r="E97" s="59">
        <v>163489</v>
      </c>
      <c r="F97" s="60">
        <v>480042</v>
      </c>
      <c r="G97" s="60">
        <v>955243</v>
      </c>
      <c r="H97" s="59">
        <v>1179582</v>
      </c>
      <c r="I97" s="61">
        <v>398990</v>
      </c>
      <c r="J97" s="60">
        <v>0</v>
      </c>
      <c r="K97" s="60">
        <v>57596</v>
      </c>
      <c r="L97" s="59">
        <v>199313</v>
      </c>
      <c r="M97" s="59">
        <v>55000</v>
      </c>
      <c r="N97" s="59">
        <v>500000</v>
      </c>
    </row>
    <row r="98" spans="1:14" ht="15.6" x14ac:dyDescent="0.3">
      <c r="A98" s="48" t="s">
        <v>148</v>
      </c>
      <c r="B98" s="62" t="s">
        <v>55</v>
      </c>
      <c r="C98" s="62" t="s">
        <v>55</v>
      </c>
      <c r="D98" s="63">
        <v>1888.38</v>
      </c>
      <c r="E98" s="59">
        <v>492.44</v>
      </c>
      <c r="F98" s="60">
        <v>7467.66</v>
      </c>
      <c r="G98" s="60">
        <v>7661.64</v>
      </c>
      <c r="H98" s="59">
        <v>5634.59</v>
      </c>
      <c r="I98" s="61">
        <v>10543.62</v>
      </c>
      <c r="J98" s="60">
        <v>3357.98</v>
      </c>
      <c r="K98" s="60">
        <v>5616.44</v>
      </c>
      <c r="L98" s="59">
        <v>3294.79</v>
      </c>
      <c r="M98" s="59">
        <v>7785.54</v>
      </c>
      <c r="N98" s="59">
        <v>7776.91</v>
      </c>
    </row>
    <row r="99" spans="1:14" ht="15.6" x14ac:dyDescent="0.3">
      <c r="A99" s="48" t="s">
        <v>149</v>
      </c>
      <c r="B99" s="62" t="s">
        <v>55</v>
      </c>
      <c r="C99" s="62" t="s">
        <v>55</v>
      </c>
      <c r="D99" s="63">
        <v>5482.54</v>
      </c>
      <c r="E99" s="59">
        <v>5413.77</v>
      </c>
      <c r="F99" s="60">
        <v>624.85</v>
      </c>
      <c r="G99" s="60">
        <v>578.44000000000005</v>
      </c>
      <c r="H99" s="59">
        <v>273.64999999999998</v>
      </c>
      <c r="I99" s="61">
        <v>317.64</v>
      </c>
      <c r="J99" s="60">
        <v>3182.18</v>
      </c>
      <c r="K99" s="60">
        <v>14916.18</v>
      </c>
      <c r="L99" s="59">
        <v>23054.880000000001</v>
      </c>
      <c r="M99" s="59">
        <v>1654.31</v>
      </c>
      <c r="N99" s="59">
        <v>3115.92</v>
      </c>
    </row>
    <row r="100" spans="1:14" ht="15.6" x14ac:dyDescent="0.3">
      <c r="A100" s="48" t="s">
        <v>150</v>
      </c>
      <c r="B100" s="62" t="s">
        <v>55</v>
      </c>
      <c r="C100" s="62" t="s">
        <v>55</v>
      </c>
      <c r="D100" s="63">
        <v>1772.51</v>
      </c>
      <c r="E100" s="59">
        <v>5004</v>
      </c>
      <c r="F100" s="60">
        <v>6033.05</v>
      </c>
      <c r="G100" s="60">
        <v>13533.05</v>
      </c>
      <c r="H100" s="59">
        <v>22413.31</v>
      </c>
      <c r="I100" s="61">
        <v>42502.46</v>
      </c>
      <c r="J100" s="60">
        <v>86748.54</v>
      </c>
      <c r="K100" s="60">
        <v>137679.96</v>
      </c>
      <c r="L100" s="59">
        <v>232737.58</v>
      </c>
      <c r="M100" s="59">
        <v>340484.61</v>
      </c>
      <c r="N100" s="59">
        <v>279509.03999999998</v>
      </c>
    </row>
    <row r="101" spans="1:14" ht="15.6" x14ac:dyDescent="0.3">
      <c r="A101" s="48" t="s">
        <v>151</v>
      </c>
      <c r="B101" s="62" t="s">
        <v>55</v>
      </c>
      <c r="C101" s="62" t="s">
        <v>55</v>
      </c>
      <c r="D101" s="62" t="s">
        <v>55</v>
      </c>
      <c r="E101" s="62" t="s">
        <v>55</v>
      </c>
      <c r="F101" s="62" t="s">
        <v>55</v>
      </c>
      <c r="G101" s="62" t="s">
        <v>55</v>
      </c>
      <c r="H101" s="62" t="s">
        <v>55</v>
      </c>
      <c r="I101" s="61">
        <v>4000</v>
      </c>
      <c r="J101" s="60">
        <v>7000</v>
      </c>
      <c r="K101" s="60">
        <v>9893.68</v>
      </c>
      <c r="L101" s="59">
        <v>0</v>
      </c>
      <c r="M101" s="59">
        <v>0</v>
      </c>
      <c r="N101" s="59">
        <v>0</v>
      </c>
    </row>
    <row r="102" spans="1:14" ht="15.6" x14ac:dyDescent="0.3">
      <c r="A102" s="48" t="s">
        <v>152</v>
      </c>
      <c r="B102" s="62" t="s">
        <v>55</v>
      </c>
      <c r="C102" s="62" t="s">
        <v>55</v>
      </c>
      <c r="D102" s="62" t="s">
        <v>55</v>
      </c>
      <c r="E102" s="62" t="s">
        <v>55</v>
      </c>
      <c r="F102" s="62" t="s">
        <v>55</v>
      </c>
      <c r="G102" s="62" t="s">
        <v>55</v>
      </c>
      <c r="H102" s="59">
        <v>1.52</v>
      </c>
      <c r="I102" s="61">
        <v>9.2899999999999991</v>
      </c>
      <c r="J102" s="60">
        <v>19.36</v>
      </c>
      <c r="K102" s="60">
        <v>19.899999999999999</v>
      </c>
      <c r="L102" s="59">
        <v>27.01</v>
      </c>
      <c r="M102" s="59">
        <v>132.08000000000001</v>
      </c>
      <c r="N102" s="59">
        <v>145.28</v>
      </c>
    </row>
    <row r="103" spans="1:14" ht="15.6" x14ac:dyDescent="0.3">
      <c r="A103" s="48" t="s">
        <v>153</v>
      </c>
      <c r="B103" s="62" t="s">
        <v>55</v>
      </c>
      <c r="C103" s="62" t="s">
        <v>55</v>
      </c>
      <c r="D103" s="62" t="s">
        <v>55</v>
      </c>
      <c r="E103" s="62" t="s">
        <v>55</v>
      </c>
      <c r="F103" s="62" t="s">
        <v>55</v>
      </c>
      <c r="G103" s="62" t="s">
        <v>55</v>
      </c>
      <c r="H103" s="59">
        <v>0</v>
      </c>
      <c r="I103" s="61">
        <v>11.49</v>
      </c>
      <c r="J103" s="60">
        <v>182.81</v>
      </c>
      <c r="K103" s="60">
        <v>402.22</v>
      </c>
      <c r="L103" s="59">
        <v>3080.17</v>
      </c>
      <c r="M103" s="59">
        <v>8031.9</v>
      </c>
      <c r="N103" s="59">
        <v>5510.34</v>
      </c>
    </row>
    <row r="104" spans="1:14" ht="15.6" x14ac:dyDescent="0.3">
      <c r="A104" s="48" t="s">
        <v>154</v>
      </c>
      <c r="B104" s="62" t="s">
        <v>55</v>
      </c>
      <c r="C104" s="62" t="s">
        <v>55</v>
      </c>
      <c r="D104" s="62" t="s">
        <v>55</v>
      </c>
      <c r="E104" s="59">
        <v>1011518.5</v>
      </c>
      <c r="F104" s="60">
        <v>100000</v>
      </c>
      <c r="G104" s="62" t="s">
        <v>55</v>
      </c>
      <c r="H104" s="62" t="s">
        <v>55</v>
      </c>
      <c r="I104" s="62" t="s">
        <v>55</v>
      </c>
      <c r="J104" s="48" t="s">
        <v>55</v>
      </c>
      <c r="K104" s="18" t="s">
        <v>55</v>
      </c>
      <c r="L104" s="59"/>
      <c r="M104" s="59"/>
      <c r="N104" s="18" t="s">
        <v>55</v>
      </c>
    </row>
    <row r="105" spans="1:14" ht="15.6" x14ac:dyDescent="0.3">
      <c r="A105" s="48" t="s">
        <v>155</v>
      </c>
      <c r="B105" s="64">
        <v>6376.82</v>
      </c>
      <c r="C105" s="58">
        <v>2679.92</v>
      </c>
      <c r="D105" s="62" t="s">
        <v>55</v>
      </c>
      <c r="E105" s="62" t="s">
        <v>55</v>
      </c>
      <c r="F105" s="62" t="s">
        <v>55</v>
      </c>
      <c r="G105" s="62" t="s">
        <v>55</v>
      </c>
      <c r="H105" s="62" t="s">
        <v>55</v>
      </c>
      <c r="I105" s="62" t="s">
        <v>55</v>
      </c>
      <c r="J105" s="48" t="s">
        <v>55</v>
      </c>
      <c r="K105" s="18"/>
      <c r="L105" s="59"/>
      <c r="M105" s="59"/>
      <c r="N105" s="18"/>
    </row>
    <row r="106" spans="1:14" ht="15.6" x14ac:dyDescent="0.3">
      <c r="A106" s="69" t="s">
        <v>156</v>
      </c>
      <c r="B106" s="66">
        <v>3493167.02</v>
      </c>
      <c r="C106" s="53">
        <v>3687098.79</v>
      </c>
      <c r="D106" s="54">
        <v>3714351.59</v>
      </c>
      <c r="E106" s="55">
        <v>5652628.3099999996</v>
      </c>
      <c r="F106" s="56">
        <v>5845919.3600000003</v>
      </c>
      <c r="G106" s="56">
        <v>6034206.6100000003</v>
      </c>
      <c r="H106" s="55">
        <v>6292657.8600000003</v>
      </c>
      <c r="I106" s="67">
        <v>6149919.9699999997</v>
      </c>
      <c r="J106" s="56">
        <v>6609686.1699999999</v>
      </c>
      <c r="K106" s="56">
        <v>7159772.4299999997</v>
      </c>
      <c r="L106" s="55">
        <v>7415175.7400000002</v>
      </c>
      <c r="M106" s="55">
        <v>8351872.8099999996</v>
      </c>
      <c r="N106" s="55">
        <v>8973259.7100000009</v>
      </c>
    </row>
    <row r="107" spans="1:14" ht="15.6" x14ac:dyDescent="0.3">
      <c r="A107" s="48" t="s">
        <v>157</v>
      </c>
      <c r="B107" s="64">
        <v>18124.3</v>
      </c>
      <c r="C107" s="58">
        <v>20600.86</v>
      </c>
      <c r="D107" s="63">
        <v>23305.38</v>
      </c>
      <c r="E107" s="59">
        <v>26194.89</v>
      </c>
      <c r="F107" s="60">
        <v>26685.27</v>
      </c>
      <c r="G107" s="60">
        <v>30738.77</v>
      </c>
      <c r="H107" s="59">
        <v>33890.910000000003</v>
      </c>
      <c r="I107" s="61">
        <v>34715.360000000001</v>
      </c>
      <c r="J107" s="60">
        <v>35782.230000000003</v>
      </c>
      <c r="K107" s="60">
        <v>39928.699999999997</v>
      </c>
      <c r="L107" s="59">
        <v>47317.13</v>
      </c>
      <c r="M107" s="59">
        <v>55685.2</v>
      </c>
      <c r="N107" s="59">
        <v>65388.45</v>
      </c>
    </row>
    <row r="108" spans="1:14" ht="15.6" x14ac:dyDescent="0.3">
      <c r="A108" s="69" t="s">
        <v>158</v>
      </c>
      <c r="B108" s="66">
        <v>3511291.32</v>
      </c>
      <c r="C108" s="53">
        <v>3707699.65</v>
      </c>
      <c r="D108" s="54">
        <v>3737656.97</v>
      </c>
      <c r="E108" s="55">
        <v>5678823.2000000002</v>
      </c>
      <c r="F108" s="56">
        <v>5872604.6299999999</v>
      </c>
      <c r="G108" s="56">
        <v>6064945.3799999999</v>
      </c>
      <c r="H108" s="55">
        <v>6326548.7699999996</v>
      </c>
      <c r="I108" s="67">
        <v>6184635.3300000001</v>
      </c>
      <c r="J108" s="56">
        <v>6645468.4000000004</v>
      </c>
      <c r="K108" s="56">
        <v>7199701.1299999999</v>
      </c>
      <c r="L108" s="55">
        <v>7462492.8700000001</v>
      </c>
      <c r="M108" s="55">
        <v>8407558.0099999998</v>
      </c>
      <c r="N108" s="55">
        <v>9038648.1600000001</v>
      </c>
    </row>
    <row r="109" spans="1:14" ht="15.6" x14ac:dyDescent="0.3">
      <c r="A109" s="48"/>
      <c r="B109" s="62"/>
      <c r="C109" s="62"/>
      <c r="D109" s="62"/>
      <c r="E109" s="62"/>
      <c r="F109" s="62"/>
      <c r="G109" s="62"/>
      <c r="H109" s="62"/>
      <c r="I109" s="62"/>
      <c r="J109" s="48"/>
      <c r="K109" s="48"/>
      <c r="L109" s="48"/>
      <c r="M109" s="48"/>
      <c r="N109" s="48"/>
    </row>
    <row r="110" spans="1:14" ht="15.6" x14ac:dyDescent="0.3">
      <c r="A110" s="76" t="s">
        <v>159</v>
      </c>
      <c r="B110" s="52"/>
      <c r="C110" s="62"/>
      <c r="D110" s="62"/>
      <c r="E110" s="62"/>
      <c r="F110" s="62"/>
      <c r="G110" s="62"/>
      <c r="H110" s="62"/>
      <c r="I110" s="62"/>
      <c r="J110" s="48"/>
      <c r="K110" s="48"/>
      <c r="L110" s="48"/>
      <c r="M110" s="48"/>
      <c r="N110" s="48"/>
    </row>
    <row r="111" spans="1:14" ht="15.6" x14ac:dyDescent="0.3">
      <c r="A111" s="51" t="s">
        <v>160</v>
      </c>
      <c r="B111" s="66">
        <v>4632.66</v>
      </c>
      <c r="C111" s="53">
        <v>4351.3900000000003</v>
      </c>
      <c r="D111" s="54">
        <v>6830.92</v>
      </c>
      <c r="E111" s="55">
        <v>13498.44</v>
      </c>
      <c r="F111" s="56">
        <v>10561.23</v>
      </c>
      <c r="G111" s="56">
        <v>11923.6</v>
      </c>
      <c r="H111" s="55">
        <v>14448.93</v>
      </c>
      <c r="I111" s="67">
        <v>6991.74</v>
      </c>
      <c r="J111" s="56">
        <v>18942.310000000001</v>
      </c>
      <c r="K111" s="56">
        <v>16654.13</v>
      </c>
      <c r="L111" s="55">
        <v>18520</v>
      </c>
      <c r="M111" s="55">
        <v>22093</v>
      </c>
      <c r="N111" s="55">
        <v>28604.87</v>
      </c>
    </row>
    <row r="112" spans="1:14" ht="15.6" x14ac:dyDescent="0.3">
      <c r="A112" s="48" t="s">
        <v>161</v>
      </c>
      <c r="B112" s="64">
        <v>4632.66</v>
      </c>
      <c r="C112" s="58">
        <v>4351.3900000000003</v>
      </c>
      <c r="D112" s="63">
        <v>6830.92</v>
      </c>
      <c r="E112" s="59">
        <v>13498.44</v>
      </c>
      <c r="F112" s="60">
        <v>10561.23</v>
      </c>
      <c r="G112" s="60">
        <v>11923.6</v>
      </c>
      <c r="H112" s="59">
        <v>14448.93</v>
      </c>
      <c r="I112" s="61">
        <v>6991.74</v>
      </c>
      <c r="J112" s="60">
        <v>18942.310000000001</v>
      </c>
      <c r="K112" s="60">
        <v>16654.13</v>
      </c>
      <c r="L112" s="59">
        <v>18520</v>
      </c>
      <c r="M112" s="59">
        <v>22093</v>
      </c>
      <c r="N112" s="59">
        <v>28604.87</v>
      </c>
    </row>
    <row r="113" spans="1:14" ht="15.6" x14ac:dyDescent="0.3">
      <c r="A113" s="51" t="s">
        <v>162</v>
      </c>
      <c r="B113" s="66">
        <v>13485.89</v>
      </c>
      <c r="C113" s="53">
        <v>23274.18</v>
      </c>
      <c r="D113" s="54">
        <v>24471.75</v>
      </c>
      <c r="E113" s="55">
        <v>27297.279999999999</v>
      </c>
      <c r="F113" s="56">
        <v>52990.5</v>
      </c>
      <c r="G113" s="56">
        <v>18130.77</v>
      </c>
      <c r="H113" s="55">
        <v>4838.01</v>
      </c>
      <c r="I113" s="67">
        <v>93363.39</v>
      </c>
      <c r="J113" s="56">
        <v>16380.15</v>
      </c>
      <c r="K113" s="56">
        <v>15153.48</v>
      </c>
      <c r="L113" s="55">
        <v>30077.42</v>
      </c>
      <c r="M113" s="55">
        <v>57956.13</v>
      </c>
      <c r="N113" s="55">
        <v>75758.03</v>
      </c>
    </row>
    <row r="114" spans="1:14" ht="15.6" x14ac:dyDescent="0.3">
      <c r="A114" s="69" t="s">
        <v>163</v>
      </c>
      <c r="B114" s="66">
        <v>10041.66</v>
      </c>
      <c r="C114" s="53">
        <v>10572.96</v>
      </c>
      <c r="D114" s="54">
        <v>20123.52</v>
      </c>
      <c r="E114" s="55">
        <v>23018.18</v>
      </c>
      <c r="F114" s="56">
        <v>50000</v>
      </c>
      <c r="G114" s="56">
        <v>12000</v>
      </c>
      <c r="H114" s="55">
        <v>47.38</v>
      </c>
      <c r="I114" s="67">
        <v>10049.07</v>
      </c>
      <c r="J114" s="56">
        <v>49.2</v>
      </c>
      <c r="K114" s="56">
        <v>10055.299999999999</v>
      </c>
      <c r="L114" s="55">
        <v>23017.78</v>
      </c>
      <c r="M114" s="55">
        <v>50209.1</v>
      </c>
      <c r="N114" s="55">
        <v>50475.45</v>
      </c>
    </row>
    <row r="115" spans="1:14" ht="15.6" x14ac:dyDescent="0.3">
      <c r="A115" s="48" t="s">
        <v>164</v>
      </c>
      <c r="B115" s="58" t="s">
        <v>54</v>
      </c>
      <c r="C115" s="58" t="s">
        <v>54</v>
      </c>
      <c r="D115" s="60">
        <v>0</v>
      </c>
      <c r="E115" s="60">
        <v>0</v>
      </c>
      <c r="F115" s="60">
        <v>0</v>
      </c>
      <c r="G115" s="62" t="s">
        <v>55</v>
      </c>
      <c r="H115" s="59">
        <v>0</v>
      </c>
      <c r="I115" s="62" t="s">
        <v>55</v>
      </c>
      <c r="J115" s="60">
        <v>0</v>
      </c>
      <c r="K115" s="60">
        <v>0</v>
      </c>
      <c r="L115" s="59">
        <v>157.31</v>
      </c>
      <c r="M115" s="59">
        <v>151</v>
      </c>
      <c r="N115" s="59">
        <v>475.45</v>
      </c>
    </row>
    <row r="116" spans="1:14" ht="15.6" x14ac:dyDescent="0.3">
      <c r="A116" s="48" t="s">
        <v>165</v>
      </c>
      <c r="B116" s="64">
        <v>17</v>
      </c>
      <c r="C116" s="58" t="s">
        <v>54</v>
      </c>
      <c r="D116" s="58" t="s">
        <v>54</v>
      </c>
      <c r="E116" s="58" t="s">
        <v>54</v>
      </c>
      <c r="F116" s="58" t="s">
        <v>54</v>
      </c>
      <c r="G116" s="58" t="s">
        <v>54</v>
      </c>
      <c r="H116" s="58" t="s">
        <v>54</v>
      </c>
      <c r="I116" s="58" t="s">
        <v>54</v>
      </c>
      <c r="J116" s="58" t="s">
        <v>54</v>
      </c>
      <c r="K116" s="58" t="s">
        <v>54</v>
      </c>
      <c r="L116" s="58" t="s">
        <v>54</v>
      </c>
      <c r="M116" s="58" t="s">
        <v>54</v>
      </c>
      <c r="N116" s="58" t="s">
        <v>54</v>
      </c>
    </row>
    <row r="117" spans="1:14" ht="15.6" x14ac:dyDescent="0.3">
      <c r="A117" s="48" t="s">
        <v>166</v>
      </c>
      <c r="B117" s="64">
        <v>10000</v>
      </c>
      <c r="C117" s="58">
        <v>10000</v>
      </c>
      <c r="D117" s="63">
        <v>20000</v>
      </c>
      <c r="E117" s="59">
        <v>23000</v>
      </c>
      <c r="F117" s="60">
        <v>50000</v>
      </c>
      <c r="G117" s="60">
        <v>12000</v>
      </c>
      <c r="H117" s="59" t="s">
        <v>55</v>
      </c>
      <c r="I117" s="61">
        <v>10000</v>
      </c>
      <c r="J117" s="60">
        <v>0</v>
      </c>
      <c r="K117" s="60">
        <v>10000</v>
      </c>
      <c r="L117" s="59">
        <v>22805</v>
      </c>
      <c r="M117" s="59">
        <v>50000</v>
      </c>
      <c r="N117" s="59">
        <v>50000</v>
      </c>
    </row>
    <row r="118" spans="1:14" ht="15.6" x14ac:dyDescent="0.3">
      <c r="A118" s="48" t="s">
        <v>167</v>
      </c>
      <c r="B118" s="58" t="s">
        <v>54</v>
      </c>
      <c r="C118" s="58">
        <v>562.07000000000005</v>
      </c>
      <c r="D118" s="63">
        <v>111.22</v>
      </c>
      <c r="E118" s="60">
        <v>0</v>
      </c>
      <c r="F118" s="60">
        <v>0</v>
      </c>
      <c r="G118" s="62" t="s">
        <v>55</v>
      </c>
      <c r="H118" s="59">
        <v>47.38</v>
      </c>
      <c r="I118" s="61">
        <v>49.07</v>
      </c>
      <c r="J118" s="60">
        <v>49.2</v>
      </c>
      <c r="K118" s="60">
        <v>55.3</v>
      </c>
      <c r="L118" s="59">
        <v>55.47</v>
      </c>
      <c r="M118" s="59">
        <v>58.1</v>
      </c>
      <c r="N118" s="59">
        <v>0</v>
      </c>
    </row>
    <row r="119" spans="1:14" ht="15.6" x14ac:dyDescent="0.3">
      <c r="A119" s="48" t="s">
        <v>168</v>
      </c>
      <c r="B119" s="64">
        <v>24.66</v>
      </c>
      <c r="C119" s="58">
        <v>10.89</v>
      </c>
      <c r="D119" s="63">
        <v>12.3</v>
      </c>
      <c r="E119" s="59">
        <v>18.18</v>
      </c>
      <c r="F119" s="59">
        <v>0</v>
      </c>
      <c r="G119" s="59">
        <v>0</v>
      </c>
      <c r="H119" s="59">
        <v>0</v>
      </c>
      <c r="I119" s="59">
        <v>0</v>
      </c>
      <c r="J119" s="59">
        <v>0</v>
      </c>
      <c r="K119" s="59">
        <v>0</v>
      </c>
      <c r="L119" s="59"/>
      <c r="M119" s="59"/>
      <c r="N119" s="59">
        <v>0</v>
      </c>
    </row>
    <row r="120" spans="1:14" ht="15.6" x14ac:dyDescent="0.3">
      <c r="A120" s="69" t="s">
        <v>169</v>
      </c>
      <c r="B120" s="77" t="s">
        <v>54</v>
      </c>
      <c r="C120" s="53" t="s">
        <v>54</v>
      </c>
      <c r="D120" s="54" t="s">
        <v>54</v>
      </c>
      <c r="E120" s="55">
        <v>0</v>
      </c>
      <c r="F120" s="56">
        <v>0</v>
      </c>
      <c r="G120" s="56">
        <v>0</v>
      </c>
      <c r="H120" s="59" t="s">
        <v>55</v>
      </c>
      <c r="I120" s="59" t="s">
        <v>55</v>
      </c>
      <c r="J120" s="59" t="s">
        <v>55</v>
      </c>
      <c r="K120" s="59" t="s">
        <v>55</v>
      </c>
      <c r="L120" s="59" t="s">
        <v>55</v>
      </c>
      <c r="M120" s="59" t="s">
        <v>55</v>
      </c>
      <c r="N120" s="59" t="s">
        <v>55</v>
      </c>
    </row>
    <row r="121" spans="1:14" ht="15.6" x14ac:dyDescent="0.3">
      <c r="A121" s="48" t="s">
        <v>170</v>
      </c>
      <c r="B121" s="77" t="s">
        <v>54</v>
      </c>
      <c r="C121" s="58" t="s">
        <v>54</v>
      </c>
      <c r="D121" s="63" t="s">
        <v>54</v>
      </c>
      <c r="E121" s="59">
        <v>0</v>
      </c>
      <c r="F121" s="60">
        <v>0</v>
      </c>
      <c r="G121" s="60">
        <v>0</v>
      </c>
      <c r="H121" s="59" t="s">
        <v>55</v>
      </c>
      <c r="I121" s="59" t="s">
        <v>55</v>
      </c>
      <c r="J121" s="59" t="s">
        <v>55</v>
      </c>
      <c r="K121" s="59" t="s">
        <v>55</v>
      </c>
      <c r="L121" s="59" t="s">
        <v>55</v>
      </c>
      <c r="M121" s="59" t="s">
        <v>55</v>
      </c>
      <c r="N121" s="59" t="s">
        <v>55</v>
      </c>
    </row>
    <row r="122" spans="1:14" ht="15.6" x14ac:dyDescent="0.3">
      <c r="A122" s="69" t="s">
        <v>171</v>
      </c>
      <c r="B122" s="66">
        <v>1316.67</v>
      </c>
      <c r="C122" s="53">
        <v>9060.2199999999993</v>
      </c>
      <c r="D122" s="54">
        <v>1668.82</v>
      </c>
      <c r="E122" s="55">
        <v>2147.64</v>
      </c>
      <c r="F122" s="56">
        <v>2062.12</v>
      </c>
      <c r="G122" s="56">
        <v>5099.21</v>
      </c>
      <c r="H122" s="55">
        <v>3974.14</v>
      </c>
      <c r="I122" s="67">
        <v>2535.31</v>
      </c>
      <c r="J122" s="56">
        <v>11135.49</v>
      </c>
      <c r="K122" s="56">
        <v>4799</v>
      </c>
      <c r="L122" s="55">
        <v>6564</v>
      </c>
      <c r="M122" s="55">
        <v>6198.68</v>
      </c>
      <c r="N122" s="55">
        <v>4670</v>
      </c>
    </row>
    <row r="123" spans="1:14" ht="15.6" x14ac:dyDescent="0.3">
      <c r="A123" s="48" t="s">
        <v>172</v>
      </c>
      <c r="B123" s="64">
        <v>1316.67</v>
      </c>
      <c r="C123" s="58">
        <v>9060.2199999999993</v>
      </c>
      <c r="D123" s="63">
        <v>1668.82</v>
      </c>
      <c r="E123" s="59">
        <v>2147.64</v>
      </c>
      <c r="F123" s="60">
        <v>2062.12</v>
      </c>
      <c r="G123" s="60">
        <v>5099.21</v>
      </c>
      <c r="H123" s="59">
        <v>3932.09</v>
      </c>
      <c r="I123" s="61">
        <v>2535.31</v>
      </c>
      <c r="J123" s="60">
        <v>11135.49</v>
      </c>
      <c r="K123" s="60">
        <v>4799</v>
      </c>
      <c r="L123" s="59">
        <v>6564</v>
      </c>
      <c r="M123" s="59">
        <v>6198.68</v>
      </c>
      <c r="N123" s="59">
        <v>4670</v>
      </c>
    </row>
    <row r="124" spans="1:14" ht="15.6" x14ac:dyDescent="0.3">
      <c r="A124" s="48" t="s">
        <v>173</v>
      </c>
      <c r="B124" s="55" t="s">
        <v>55</v>
      </c>
      <c r="C124" s="55" t="s">
        <v>55</v>
      </c>
      <c r="D124" s="55" t="s">
        <v>55</v>
      </c>
      <c r="E124" s="55" t="s">
        <v>55</v>
      </c>
      <c r="F124" s="60">
        <v>0</v>
      </c>
      <c r="G124" s="60">
        <v>0</v>
      </c>
      <c r="H124" s="59">
        <v>42.05</v>
      </c>
      <c r="I124" s="78" t="s">
        <v>55</v>
      </c>
      <c r="J124" s="60" t="s">
        <v>55</v>
      </c>
      <c r="K124" s="60" t="s">
        <v>55</v>
      </c>
      <c r="L124" s="59" t="s">
        <v>55</v>
      </c>
      <c r="M124" s="59" t="s">
        <v>55</v>
      </c>
      <c r="N124" s="59" t="s">
        <v>55</v>
      </c>
    </row>
    <row r="125" spans="1:14" ht="15.6" x14ac:dyDescent="0.3">
      <c r="A125" s="69" t="s">
        <v>174</v>
      </c>
      <c r="B125" s="66">
        <v>584.32000000000005</v>
      </c>
      <c r="C125" s="53">
        <v>1158.81</v>
      </c>
      <c r="D125" s="54">
        <v>1963.9</v>
      </c>
      <c r="E125" s="55">
        <v>2123.75</v>
      </c>
      <c r="F125" s="56">
        <v>916.99</v>
      </c>
      <c r="G125" s="56">
        <v>974.99</v>
      </c>
      <c r="H125" s="55">
        <v>775.99</v>
      </c>
      <c r="I125" s="67">
        <v>1291.23</v>
      </c>
      <c r="J125" s="56">
        <v>558.77</v>
      </c>
      <c r="K125" s="56">
        <v>142.24</v>
      </c>
      <c r="L125" s="55">
        <v>461.18</v>
      </c>
      <c r="M125" s="55">
        <v>1369.26</v>
      </c>
      <c r="N125" s="55">
        <v>580.20000000000005</v>
      </c>
    </row>
    <row r="126" spans="1:14" ht="15.6" x14ac:dyDescent="0.3">
      <c r="A126" s="48" t="s">
        <v>175</v>
      </c>
      <c r="B126" s="64">
        <v>3.27</v>
      </c>
      <c r="C126" s="58">
        <v>2.15</v>
      </c>
      <c r="D126" s="63">
        <v>4.33</v>
      </c>
      <c r="E126" s="59">
        <v>2.15</v>
      </c>
      <c r="F126" s="60">
        <v>4.0999999999999996</v>
      </c>
      <c r="G126" s="60">
        <v>2.57</v>
      </c>
      <c r="H126" s="59">
        <v>6.25</v>
      </c>
      <c r="I126" s="61">
        <v>4</v>
      </c>
      <c r="J126" s="60">
        <v>4</v>
      </c>
      <c r="K126" s="60">
        <v>2</v>
      </c>
      <c r="L126" s="59">
        <v>2</v>
      </c>
      <c r="M126" s="59">
        <v>0</v>
      </c>
      <c r="N126" s="59">
        <v>0</v>
      </c>
    </row>
    <row r="127" spans="1:14" ht="15.6" x14ac:dyDescent="0.3">
      <c r="A127" s="48" t="s">
        <v>176</v>
      </c>
      <c r="B127" s="58" t="s">
        <v>54</v>
      </c>
      <c r="C127" s="58" t="s">
        <v>54</v>
      </c>
      <c r="D127" s="60">
        <v>0</v>
      </c>
      <c r="E127" s="60">
        <v>0</v>
      </c>
      <c r="F127" s="60">
        <v>0</v>
      </c>
      <c r="G127" s="62" t="s">
        <v>55</v>
      </c>
      <c r="H127" s="59" t="s">
        <v>55</v>
      </c>
      <c r="I127" s="62" t="s">
        <v>55</v>
      </c>
      <c r="J127" s="62" t="s">
        <v>55</v>
      </c>
      <c r="K127" s="60">
        <v>0</v>
      </c>
      <c r="L127" s="59">
        <v>0</v>
      </c>
      <c r="M127" s="59">
        <v>1140</v>
      </c>
      <c r="N127" s="59">
        <v>0</v>
      </c>
    </row>
    <row r="128" spans="1:14" ht="15.6" x14ac:dyDescent="0.3">
      <c r="A128" s="48" t="s">
        <v>177</v>
      </c>
      <c r="B128" s="58" t="s">
        <v>54</v>
      </c>
      <c r="C128" s="58" t="s">
        <v>54</v>
      </c>
      <c r="D128" s="60">
        <v>0</v>
      </c>
      <c r="E128" s="59">
        <v>298.42</v>
      </c>
      <c r="F128" s="60">
        <v>0</v>
      </c>
      <c r="G128" s="60">
        <v>6.33</v>
      </c>
      <c r="H128" s="59">
        <v>0</v>
      </c>
      <c r="I128" s="62" t="s">
        <v>55</v>
      </c>
      <c r="J128" s="60">
        <v>0</v>
      </c>
      <c r="K128" s="60">
        <v>0</v>
      </c>
      <c r="L128" s="59">
        <v>0</v>
      </c>
      <c r="M128" s="59">
        <v>0.01</v>
      </c>
      <c r="N128" s="59">
        <v>0.01</v>
      </c>
    </row>
    <row r="129" spans="1:14" ht="15.6" x14ac:dyDescent="0.3">
      <c r="A129" s="48" t="s">
        <v>178</v>
      </c>
      <c r="B129" s="58" t="s">
        <v>54</v>
      </c>
      <c r="C129" s="58" t="s">
        <v>54</v>
      </c>
      <c r="D129" s="63">
        <v>1000</v>
      </c>
      <c r="E129" s="60">
        <v>0</v>
      </c>
      <c r="F129" s="60">
        <v>0</v>
      </c>
      <c r="G129" s="60">
        <v>0</v>
      </c>
      <c r="H129" s="59">
        <v>0</v>
      </c>
      <c r="I129" s="61">
        <v>813.24</v>
      </c>
      <c r="J129" s="60">
        <v>81.56</v>
      </c>
      <c r="K129" s="60">
        <v>0</v>
      </c>
      <c r="L129" s="59">
        <v>0</v>
      </c>
      <c r="M129" s="59">
        <v>0</v>
      </c>
      <c r="N129" s="59">
        <v>0</v>
      </c>
    </row>
    <row r="130" spans="1:14" ht="15.6" x14ac:dyDescent="0.3">
      <c r="A130" s="48" t="s">
        <v>179</v>
      </c>
      <c r="B130" s="58" t="s">
        <v>54</v>
      </c>
      <c r="C130" s="58">
        <v>16.8</v>
      </c>
      <c r="D130" s="60">
        <v>0</v>
      </c>
      <c r="E130" s="60">
        <v>0</v>
      </c>
      <c r="F130" s="60">
        <v>0</v>
      </c>
      <c r="G130" s="60" t="s">
        <v>55</v>
      </c>
      <c r="H130" s="59">
        <v>0</v>
      </c>
      <c r="I130" s="61">
        <v>73.7</v>
      </c>
      <c r="J130" s="60">
        <v>2.17</v>
      </c>
      <c r="K130" s="60" t="s">
        <v>55</v>
      </c>
      <c r="L130" s="59" t="s">
        <v>55</v>
      </c>
      <c r="M130" s="59" t="s">
        <v>55</v>
      </c>
      <c r="N130" s="59" t="s">
        <v>55</v>
      </c>
    </row>
    <row r="131" spans="1:14" ht="15.6" x14ac:dyDescent="0.3">
      <c r="A131" s="48" t="s">
        <v>180</v>
      </c>
      <c r="B131" s="64">
        <v>14.22</v>
      </c>
      <c r="C131" s="58">
        <v>51.16</v>
      </c>
      <c r="D131" s="63">
        <v>48.86</v>
      </c>
      <c r="E131" s="59">
        <v>124.61</v>
      </c>
      <c r="F131" s="60">
        <v>384.75</v>
      </c>
      <c r="G131" s="60">
        <v>10.95</v>
      </c>
      <c r="H131" s="59">
        <v>333.15</v>
      </c>
      <c r="I131" s="61">
        <v>7.15</v>
      </c>
      <c r="J131" s="60">
        <v>145.09</v>
      </c>
      <c r="K131" s="60">
        <v>5.26</v>
      </c>
      <c r="L131" s="59">
        <v>399.18</v>
      </c>
      <c r="M131" s="59">
        <v>159.12</v>
      </c>
      <c r="N131" s="59">
        <v>0.06</v>
      </c>
    </row>
    <row r="132" spans="1:14" ht="15.6" x14ac:dyDescent="0.3">
      <c r="A132" s="48" t="s">
        <v>181</v>
      </c>
      <c r="B132" s="64">
        <v>261.41000000000003</v>
      </c>
      <c r="C132" s="58">
        <v>433.85</v>
      </c>
      <c r="D132" s="63">
        <v>527.25</v>
      </c>
      <c r="E132" s="59">
        <v>896.12</v>
      </c>
      <c r="F132" s="60">
        <v>295.74</v>
      </c>
      <c r="G132" s="60">
        <v>577</v>
      </c>
      <c r="H132" s="59">
        <v>132.74</v>
      </c>
      <c r="I132" s="61">
        <v>155.30000000000001</v>
      </c>
      <c r="J132" s="60">
        <v>17</v>
      </c>
      <c r="K132" s="60">
        <v>0</v>
      </c>
      <c r="L132" s="59">
        <v>0</v>
      </c>
      <c r="M132" s="59">
        <v>0.08</v>
      </c>
      <c r="N132" s="59">
        <v>500.08</v>
      </c>
    </row>
    <row r="133" spans="1:14" ht="15.6" x14ac:dyDescent="0.3">
      <c r="A133" s="48" t="s">
        <v>182</v>
      </c>
      <c r="B133" s="64">
        <v>4</v>
      </c>
      <c r="C133" s="58">
        <v>376</v>
      </c>
      <c r="D133" s="63">
        <v>26</v>
      </c>
      <c r="E133" s="60" t="s">
        <v>55</v>
      </c>
      <c r="F133" s="60" t="s">
        <v>55</v>
      </c>
      <c r="G133" s="60" t="s">
        <v>55</v>
      </c>
      <c r="H133" s="59" t="s">
        <v>55</v>
      </c>
      <c r="I133" s="61" t="s">
        <v>55</v>
      </c>
      <c r="J133" s="60" t="s">
        <v>55</v>
      </c>
      <c r="K133" s="60">
        <v>0</v>
      </c>
      <c r="L133" s="59">
        <v>0</v>
      </c>
      <c r="M133" s="59">
        <v>0</v>
      </c>
      <c r="N133" s="59">
        <v>0</v>
      </c>
    </row>
    <row r="134" spans="1:14" ht="15.6" x14ac:dyDescent="0.3">
      <c r="A134" s="48" t="s">
        <v>183</v>
      </c>
      <c r="B134" s="64">
        <v>241.2</v>
      </c>
      <c r="C134" s="58">
        <v>214.66</v>
      </c>
      <c r="D134" s="63">
        <v>87.65</v>
      </c>
      <c r="E134" s="59">
        <v>551.57000000000005</v>
      </c>
      <c r="F134" s="60">
        <v>52.4</v>
      </c>
      <c r="G134" s="60">
        <v>284.95</v>
      </c>
      <c r="H134" s="59">
        <v>243.85</v>
      </c>
      <c r="I134" s="61">
        <v>207.84</v>
      </c>
      <c r="J134" s="60">
        <v>218.95</v>
      </c>
      <c r="K134" s="60">
        <v>84.98</v>
      </c>
      <c r="L134" s="59">
        <v>0</v>
      </c>
      <c r="M134" s="59">
        <v>0.04</v>
      </c>
      <c r="N134" s="59">
        <v>0.04</v>
      </c>
    </row>
    <row r="135" spans="1:14" ht="15.6" x14ac:dyDescent="0.3">
      <c r="A135" s="48" t="s">
        <v>184</v>
      </c>
      <c r="B135" s="64">
        <v>60.22</v>
      </c>
      <c r="C135" s="58">
        <v>64.19</v>
      </c>
      <c r="D135" s="63">
        <v>269.81</v>
      </c>
      <c r="E135" s="59">
        <v>250.88</v>
      </c>
      <c r="F135" s="60">
        <v>180</v>
      </c>
      <c r="G135" s="60">
        <v>93.19</v>
      </c>
      <c r="H135" s="59">
        <v>60</v>
      </c>
      <c r="I135" s="61">
        <v>30</v>
      </c>
      <c r="J135" s="60">
        <v>90</v>
      </c>
      <c r="K135" s="60">
        <v>50</v>
      </c>
      <c r="L135" s="59">
        <v>60</v>
      </c>
      <c r="M135" s="59">
        <v>70.010000000000005</v>
      </c>
      <c r="N135" s="59">
        <v>80.010000000000005</v>
      </c>
    </row>
    <row r="136" spans="1:14" ht="15.6" x14ac:dyDescent="0.3">
      <c r="A136" s="69" t="s">
        <v>185</v>
      </c>
      <c r="B136" s="55">
        <v>0</v>
      </c>
      <c r="C136" s="53">
        <v>1</v>
      </c>
      <c r="D136" s="55">
        <v>0</v>
      </c>
      <c r="E136" s="55">
        <v>0</v>
      </c>
      <c r="F136" s="55">
        <v>0</v>
      </c>
      <c r="G136" s="55">
        <v>0</v>
      </c>
      <c r="H136" s="55">
        <v>0</v>
      </c>
      <c r="I136" s="55">
        <v>0</v>
      </c>
      <c r="J136" s="55">
        <v>0</v>
      </c>
      <c r="K136" s="55">
        <v>0</v>
      </c>
      <c r="L136" s="59"/>
      <c r="M136" s="59"/>
      <c r="N136" s="55">
        <v>0</v>
      </c>
    </row>
    <row r="137" spans="1:14" ht="15.6" x14ac:dyDescent="0.3">
      <c r="A137" s="48" t="s">
        <v>186</v>
      </c>
      <c r="B137" s="55">
        <v>0</v>
      </c>
      <c r="C137" s="58">
        <v>1</v>
      </c>
      <c r="D137" s="55">
        <v>0</v>
      </c>
      <c r="E137" s="55">
        <v>0</v>
      </c>
      <c r="F137" s="55">
        <v>0</v>
      </c>
      <c r="G137" s="55">
        <v>0</v>
      </c>
      <c r="H137" s="55">
        <v>0</v>
      </c>
      <c r="I137" s="55">
        <v>0</v>
      </c>
      <c r="J137" s="55">
        <v>0</v>
      </c>
      <c r="K137" s="55">
        <v>0</v>
      </c>
      <c r="L137" s="59"/>
      <c r="M137" s="59"/>
      <c r="N137" s="55">
        <v>0</v>
      </c>
    </row>
    <row r="138" spans="1:14" ht="15.6" x14ac:dyDescent="0.3">
      <c r="A138" s="69" t="s">
        <v>187</v>
      </c>
      <c r="B138" s="66">
        <v>50</v>
      </c>
      <c r="C138" s="53">
        <v>50</v>
      </c>
      <c r="D138" s="54">
        <v>13.59</v>
      </c>
      <c r="E138" s="55">
        <v>0</v>
      </c>
      <c r="F138" s="56" t="s">
        <v>55</v>
      </c>
      <c r="G138" s="56" t="s">
        <v>55</v>
      </c>
      <c r="H138" s="55">
        <v>0</v>
      </c>
      <c r="I138" s="67">
        <v>79398</v>
      </c>
      <c r="J138" s="56">
        <v>4500</v>
      </c>
      <c r="K138" s="60" t="s">
        <v>55</v>
      </c>
      <c r="L138" s="55">
        <v>0</v>
      </c>
      <c r="M138" s="55">
        <v>146.72</v>
      </c>
      <c r="N138" s="55">
        <v>0</v>
      </c>
    </row>
    <row r="139" spans="1:14" ht="15.6" x14ac:dyDescent="0.3">
      <c r="A139" s="48" t="s">
        <v>188</v>
      </c>
      <c r="B139" s="55">
        <v>0</v>
      </c>
      <c r="C139" s="55">
        <v>0</v>
      </c>
      <c r="D139" s="55">
        <v>0</v>
      </c>
      <c r="E139" s="55">
        <v>0</v>
      </c>
      <c r="F139" s="56" t="s">
        <v>55</v>
      </c>
      <c r="G139" s="56" t="s">
        <v>55</v>
      </c>
      <c r="H139" s="59">
        <v>0</v>
      </c>
      <c r="I139" s="61">
        <v>79398</v>
      </c>
      <c r="J139" s="60">
        <v>4500</v>
      </c>
      <c r="K139" s="60" t="s">
        <v>55</v>
      </c>
      <c r="L139" s="55" t="s">
        <v>55</v>
      </c>
      <c r="M139" s="55" t="s">
        <v>55</v>
      </c>
      <c r="N139" s="55" t="s">
        <v>55</v>
      </c>
    </row>
    <row r="140" spans="1:14" ht="15.6" x14ac:dyDescent="0.3">
      <c r="A140" s="48" t="s">
        <v>189</v>
      </c>
      <c r="B140" s="58">
        <v>50</v>
      </c>
      <c r="C140" s="58">
        <v>50</v>
      </c>
      <c r="D140" s="63">
        <v>13.59</v>
      </c>
      <c r="E140" s="55">
        <v>0</v>
      </c>
      <c r="F140" s="56" t="s">
        <v>55</v>
      </c>
      <c r="G140" s="56" t="s">
        <v>55</v>
      </c>
      <c r="H140" s="62" t="s">
        <v>55</v>
      </c>
      <c r="I140" s="65" t="s">
        <v>54</v>
      </c>
      <c r="J140" s="62" t="s">
        <v>55</v>
      </c>
      <c r="K140" s="56" t="s">
        <v>55</v>
      </c>
      <c r="L140" s="59">
        <v>0</v>
      </c>
      <c r="M140" s="59">
        <v>146.72</v>
      </c>
      <c r="N140" s="59">
        <v>0</v>
      </c>
    </row>
    <row r="141" spans="1:14" ht="15.6" x14ac:dyDescent="0.3">
      <c r="A141" s="69" t="s">
        <v>190</v>
      </c>
      <c r="B141" s="66">
        <v>7.19</v>
      </c>
      <c r="C141" s="53">
        <v>3.6</v>
      </c>
      <c r="D141" s="54">
        <v>9.32</v>
      </c>
      <c r="E141" s="55">
        <v>7.71</v>
      </c>
      <c r="F141" s="56">
        <v>4.0999999999999996</v>
      </c>
      <c r="G141" s="56">
        <v>0.33</v>
      </c>
      <c r="H141" s="55">
        <v>0.3</v>
      </c>
      <c r="I141" s="79" t="s">
        <v>54</v>
      </c>
      <c r="J141" s="56">
        <v>0.6</v>
      </c>
      <c r="K141" s="56">
        <v>0</v>
      </c>
      <c r="L141" s="55">
        <v>0</v>
      </c>
      <c r="M141" s="55">
        <v>0.91</v>
      </c>
      <c r="N141" s="55">
        <v>20000.91</v>
      </c>
    </row>
    <row r="142" spans="1:14" ht="15.6" x14ac:dyDescent="0.3">
      <c r="A142" s="48" t="s">
        <v>191</v>
      </c>
      <c r="B142" s="64">
        <v>7.19</v>
      </c>
      <c r="C142" s="58">
        <v>3.6</v>
      </c>
      <c r="D142" s="63">
        <v>9.32</v>
      </c>
      <c r="E142" s="59">
        <v>7.71</v>
      </c>
      <c r="F142" s="60">
        <v>4.0999999999999996</v>
      </c>
      <c r="G142" s="60">
        <v>0.33</v>
      </c>
      <c r="H142" s="59">
        <v>0.3</v>
      </c>
      <c r="I142" s="62" t="s">
        <v>55</v>
      </c>
      <c r="J142" s="60">
        <v>0.6</v>
      </c>
      <c r="K142" s="60">
        <v>0</v>
      </c>
      <c r="L142" s="59">
        <v>0</v>
      </c>
      <c r="M142" s="59">
        <v>0.91</v>
      </c>
      <c r="N142" s="59">
        <v>20000.91</v>
      </c>
    </row>
    <row r="143" spans="1:14" ht="15.6" x14ac:dyDescent="0.3">
      <c r="A143" s="69" t="s">
        <v>192</v>
      </c>
      <c r="B143" s="66">
        <v>1486.05</v>
      </c>
      <c r="C143" s="53">
        <v>2427.59</v>
      </c>
      <c r="D143" s="54">
        <v>692.6</v>
      </c>
      <c r="E143" s="59" t="s">
        <v>55</v>
      </c>
      <c r="F143" s="56">
        <v>7.29</v>
      </c>
      <c r="G143" s="56">
        <v>56.24</v>
      </c>
      <c r="H143" s="55">
        <v>40.200000000000003</v>
      </c>
      <c r="I143" s="67">
        <v>89.78</v>
      </c>
      <c r="J143" s="56">
        <v>136.09</v>
      </c>
      <c r="K143" s="56">
        <v>156.94</v>
      </c>
      <c r="L143" s="55">
        <v>34.46</v>
      </c>
      <c r="M143" s="55">
        <v>31.46</v>
      </c>
      <c r="N143" s="55">
        <v>31.47</v>
      </c>
    </row>
    <row r="144" spans="1:14" ht="15.6" x14ac:dyDescent="0.3">
      <c r="A144" s="48" t="s">
        <v>193</v>
      </c>
      <c r="B144" s="55">
        <v>0</v>
      </c>
      <c r="C144" s="55">
        <v>0</v>
      </c>
      <c r="D144" s="55">
        <v>0</v>
      </c>
      <c r="E144" s="55">
        <v>0</v>
      </c>
      <c r="F144" s="60">
        <v>0</v>
      </c>
      <c r="G144" s="60">
        <v>20.68</v>
      </c>
      <c r="H144" s="59">
        <v>40.200000000000003</v>
      </c>
      <c r="I144" s="61">
        <v>35.35</v>
      </c>
      <c r="J144" s="60">
        <v>78.87</v>
      </c>
      <c r="K144" s="60">
        <v>156.94</v>
      </c>
      <c r="L144" s="59">
        <v>34.46</v>
      </c>
      <c r="M144" s="59">
        <v>31.45</v>
      </c>
      <c r="N144" s="59">
        <v>31.46</v>
      </c>
    </row>
    <row r="145" spans="1:14" ht="15.6" x14ac:dyDescent="0.3">
      <c r="A145" s="48" t="s">
        <v>194</v>
      </c>
      <c r="B145" s="55">
        <v>0</v>
      </c>
      <c r="C145" s="55">
        <v>0</v>
      </c>
      <c r="D145" s="55">
        <v>0</v>
      </c>
      <c r="E145" s="59">
        <v>0</v>
      </c>
      <c r="F145" s="60">
        <v>0</v>
      </c>
      <c r="G145" s="60">
        <v>35.56</v>
      </c>
      <c r="H145" s="59">
        <v>0</v>
      </c>
      <c r="I145" s="61">
        <v>54.43</v>
      </c>
      <c r="J145" s="60">
        <v>57.22</v>
      </c>
      <c r="K145" s="60"/>
      <c r="L145" s="59"/>
      <c r="M145" s="59"/>
      <c r="N145" s="59"/>
    </row>
    <row r="146" spans="1:14" ht="15.6" x14ac:dyDescent="0.3">
      <c r="A146" s="48" t="s">
        <v>195</v>
      </c>
      <c r="B146" s="64">
        <v>1486.05</v>
      </c>
      <c r="C146" s="58">
        <v>2427.59</v>
      </c>
      <c r="D146" s="63">
        <v>692.6</v>
      </c>
      <c r="E146" s="59">
        <v>0</v>
      </c>
      <c r="F146" s="60">
        <v>7.29</v>
      </c>
      <c r="G146" s="60">
        <v>0</v>
      </c>
      <c r="H146" s="59">
        <v>0</v>
      </c>
      <c r="I146" s="62" t="s">
        <v>55</v>
      </c>
      <c r="J146" s="60">
        <v>0</v>
      </c>
      <c r="K146" s="60">
        <v>0</v>
      </c>
      <c r="L146" s="59">
        <v>0</v>
      </c>
      <c r="M146" s="59">
        <v>0.01</v>
      </c>
      <c r="N146" s="59">
        <v>0.01</v>
      </c>
    </row>
    <row r="147" spans="1:14" ht="15.6" x14ac:dyDescent="0.3">
      <c r="A147" s="51" t="s">
        <v>196</v>
      </c>
      <c r="B147" s="66">
        <v>12880.07</v>
      </c>
      <c r="C147" s="53">
        <v>14276.56</v>
      </c>
      <c r="D147" s="54">
        <v>15941.23</v>
      </c>
      <c r="E147" s="55">
        <v>19189.759999999998</v>
      </c>
      <c r="F147" s="56">
        <v>18558.810000000001</v>
      </c>
      <c r="G147" s="56">
        <v>24612.78</v>
      </c>
      <c r="H147" s="55">
        <v>25854.33</v>
      </c>
      <c r="I147" s="67">
        <v>149490.22</v>
      </c>
      <c r="J147" s="56">
        <v>196881.96</v>
      </c>
      <c r="K147" s="56">
        <v>110250.62</v>
      </c>
      <c r="L147" s="55">
        <v>142656.16</v>
      </c>
      <c r="M147" s="55">
        <v>160889.51</v>
      </c>
      <c r="N147" s="55">
        <v>193816.11</v>
      </c>
    </row>
    <row r="148" spans="1:14" ht="15.6" x14ac:dyDescent="0.3">
      <c r="A148" s="48" t="s">
        <v>197</v>
      </c>
      <c r="B148" s="64">
        <v>11008.1</v>
      </c>
      <c r="C148" s="58">
        <v>11939.76</v>
      </c>
      <c r="D148" s="63">
        <v>12504.1</v>
      </c>
      <c r="E148" s="59">
        <v>17768.59</v>
      </c>
      <c r="F148" s="60">
        <v>17516.169999999998</v>
      </c>
      <c r="G148" s="60">
        <v>23828.76</v>
      </c>
      <c r="H148" s="59">
        <v>24681.05</v>
      </c>
      <c r="I148" s="61">
        <v>148803.93</v>
      </c>
      <c r="J148" s="60">
        <v>185136.11</v>
      </c>
      <c r="K148" s="60">
        <v>109385.35</v>
      </c>
      <c r="L148" s="59">
        <v>140863.34</v>
      </c>
      <c r="M148" s="59">
        <v>159512</v>
      </c>
      <c r="N148" s="59">
        <v>192833</v>
      </c>
    </row>
    <row r="149" spans="1:14" ht="15.6" x14ac:dyDescent="0.3">
      <c r="A149" s="48" t="s">
        <v>198</v>
      </c>
      <c r="B149" s="64">
        <v>81.96</v>
      </c>
      <c r="C149" s="58">
        <v>72</v>
      </c>
      <c r="D149" s="63">
        <v>72</v>
      </c>
      <c r="E149" s="59">
        <v>72</v>
      </c>
      <c r="F149" s="60">
        <v>72</v>
      </c>
      <c r="G149" s="60">
        <v>129.61000000000001</v>
      </c>
      <c r="H149" s="59">
        <v>225</v>
      </c>
      <c r="I149" s="62" t="s">
        <v>55</v>
      </c>
      <c r="J149" s="60">
        <v>11134.45</v>
      </c>
      <c r="K149" s="60">
        <v>0</v>
      </c>
      <c r="L149" s="59">
        <v>0</v>
      </c>
      <c r="M149" s="59">
        <v>280.01</v>
      </c>
      <c r="N149" s="59">
        <v>380.01</v>
      </c>
    </row>
    <row r="150" spans="1:14" ht="15.6" x14ac:dyDescent="0.3">
      <c r="A150" s="48" t="s">
        <v>199</v>
      </c>
      <c r="B150" s="64">
        <v>1624.59</v>
      </c>
      <c r="C150" s="58">
        <v>2113.42</v>
      </c>
      <c r="D150" s="63">
        <v>3240.8</v>
      </c>
      <c r="E150" s="59">
        <v>1281.57</v>
      </c>
      <c r="F150" s="60">
        <v>866.59</v>
      </c>
      <c r="G150" s="60">
        <v>494.62</v>
      </c>
      <c r="H150" s="59">
        <v>802.67</v>
      </c>
      <c r="I150" s="61">
        <v>539.15</v>
      </c>
      <c r="J150" s="60">
        <v>443.42</v>
      </c>
      <c r="K150" s="60">
        <v>704.2</v>
      </c>
      <c r="L150" s="59">
        <v>1611.99</v>
      </c>
      <c r="M150" s="59">
        <v>869.7</v>
      </c>
      <c r="N150" s="59">
        <v>375</v>
      </c>
    </row>
    <row r="151" spans="1:14" ht="15.6" x14ac:dyDescent="0.3">
      <c r="A151" s="48" t="s">
        <v>200</v>
      </c>
      <c r="B151" s="64">
        <v>164.8</v>
      </c>
      <c r="C151" s="58">
        <v>149.13</v>
      </c>
      <c r="D151" s="63">
        <v>121.87</v>
      </c>
      <c r="E151" s="59">
        <v>64.78</v>
      </c>
      <c r="F151" s="60">
        <v>102.2</v>
      </c>
      <c r="G151" s="60">
        <v>158.63999999999999</v>
      </c>
      <c r="H151" s="59">
        <v>144.72999999999999</v>
      </c>
      <c r="I151" s="61">
        <v>146.29</v>
      </c>
      <c r="J151" s="60">
        <v>166.99</v>
      </c>
      <c r="K151" s="60">
        <v>159.75</v>
      </c>
      <c r="L151" s="59">
        <v>178.14</v>
      </c>
      <c r="M151" s="59">
        <v>225</v>
      </c>
      <c r="N151" s="59">
        <v>225</v>
      </c>
    </row>
    <row r="152" spans="1:14" ht="15.6" x14ac:dyDescent="0.3">
      <c r="A152" s="48" t="s">
        <v>201</v>
      </c>
      <c r="B152" s="64">
        <v>0.62</v>
      </c>
      <c r="C152" s="58">
        <v>2.25</v>
      </c>
      <c r="D152" s="63">
        <v>2.46</v>
      </c>
      <c r="E152" s="59">
        <v>2.82</v>
      </c>
      <c r="F152" s="60">
        <v>1.85</v>
      </c>
      <c r="G152" s="60">
        <v>1.1499999999999999</v>
      </c>
      <c r="H152" s="59">
        <v>0.88</v>
      </c>
      <c r="I152" s="61">
        <v>0.85</v>
      </c>
      <c r="J152" s="60">
        <v>0.99</v>
      </c>
      <c r="K152" s="60">
        <v>1.32</v>
      </c>
      <c r="L152" s="59">
        <v>2.69</v>
      </c>
      <c r="M152" s="59">
        <v>2.8</v>
      </c>
      <c r="N152" s="59">
        <v>3.1</v>
      </c>
    </row>
    <row r="153" spans="1:14" ht="15.6" x14ac:dyDescent="0.3">
      <c r="A153" s="51" t="s">
        <v>202</v>
      </c>
      <c r="B153" s="56" t="s">
        <v>55</v>
      </c>
      <c r="C153" s="56" t="s">
        <v>55</v>
      </c>
      <c r="D153" s="56" t="s">
        <v>55</v>
      </c>
      <c r="E153" s="56" t="s">
        <v>55</v>
      </c>
      <c r="F153" s="56" t="s">
        <v>55</v>
      </c>
      <c r="G153" s="56" t="s">
        <v>55</v>
      </c>
      <c r="H153" s="55">
        <v>0</v>
      </c>
      <c r="I153" s="78" t="s">
        <v>55</v>
      </c>
      <c r="J153" s="56">
        <v>29500</v>
      </c>
      <c r="K153" s="60" t="s">
        <v>54</v>
      </c>
      <c r="L153" s="59" t="s">
        <v>54</v>
      </c>
      <c r="M153" s="59" t="s">
        <v>54</v>
      </c>
      <c r="N153" s="59" t="s">
        <v>54</v>
      </c>
    </row>
    <row r="154" spans="1:14" ht="15.6" x14ac:dyDescent="0.3">
      <c r="A154" s="48" t="s">
        <v>203</v>
      </c>
      <c r="B154" s="56" t="s">
        <v>55</v>
      </c>
      <c r="C154" s="56" t="s">
        <v>55</v>
      </c>
      <c r="D154" s="56" t="s">
        <v>55</v>
      </c>
      <c r="E154" s="56" t="s">
        <v>55</v>
      </c>
      <c r="F154" s="56" t="s">
        <v>55</v>
      </c>
      <c r="G154" s="62" t="s">
        <v>55</v>
      </c>
      <c r="H154" s="59">
        <v>0</v>
      </c>
      <c r="I154" s="78" t="s">
        <v>55</v>
      </c>
      <c r="J154" s="60">
        <v>29500</v>
      </c>
      <c r="K154" s="60" t="s">
        <v>54</v>
      </c>
      <c r="L154" s="59" t="s">
        <v>54</v>
      </c>
      <c r="M154" s="59" t="s">
        <v>54</v>
      </c>
      <c r="N154" s="59" t="s">
        <v>54</v>
      </c>
    </row>
    <row r="155" spans="1:14" ht="15.6" x14ac:dyDescent="0.3">
      <c r="A155" s="69" t="s">
        <v>204</v>
      </c>
      <c r="B155" s="66">
        <v>1.3</v>
      </c>
      <c r="C155" s="53">
        <v>19.399999999999999</v>
      </c>
      <c r="D155" s="54">
        <v>28.04</v>
      </c>
      <c r="E155" s="55">
        <v>25.91</v>
      </c>
      <c r="F155" s="56">
        <v>25.64</v>
      </c>
      <c r="G155" s="56">
        <v>0.31</v>
      </c>
      <c r="H155" s="55">
        <v>0.5</v>
      </c>
      <c r="I155" s="67">
        <v>0.2</v>
      </c>
      <c r="J155" s="56">
        <v>0</v>
      </c>
      <c r="K155" s="56">
        <v>0</v>
      </c>
      <c r="L155" s="55">
        <v>56.09</v>
      </c>
      <c r="M155" s="55">
        <v>38.409999999999997</v>
      </c>
      <c r="N155" s="55">
        <v>50.01</v>
      </c>
    </row>
    <row r="156" spans="1:14" ht="15.6" x14ac:dyDescent="0.3">
      <c r="A156" s="69" t="s">
        <v>205</v>
      </c>
      <c r="B156" s="80">
        <v>30999.919999999998</v>
      </c>
      <c r="C156" s="53">
        <v>41921.53</v>
      </c>
      <c r="D156" s="54">
        <v>47271.94</v>
      </c>
      <c r="E156" s="55">
        <v>60011.39</v>
      </c>
      <c r="F156" s="56">
        <v>82136.179999999993</v>
      </c>
      <c r="G156" s="56">
        <v>54667.46</v>
      </c>
      <c r="H156" s="55">
        <v>45141.77</v>
      </c>
      <c r="I156" s="67">
        <v>249845.55</v>
      </c>
      <c r="J156" s="56">
        <v>261704.42</v>
      </c>
      <c r="K156" s="56">
        <v>142058.23000000001</v>
      </c>
      <c r="L156" s="55">
        <v>191309.67</v>
      </c>
      <c r="M156" s="55">
        <v>240977.05</v>
      </c>
      <c r="N156" s="55">
        <v>298229.02</v>
      </c>
    </row>
    <row r="157" spans="1:14" ht="15.6" x14ac:dyDescent="0.3">
      <c r="A157" s="69" t="s">
        <v>206</v>
      </c>
      <c r="B157" s="66">
        <v>3711135.71</v>
      </c>
      <c r="C157" s="53">
        <v>3921706.24</v>
      </c>
      <c r="D157" s="54">
        <v>4063795.25</v>
      </c>
      <c r="E157" s="55">
        <v>5988306.4100000001</v>
      </c>
      <c r="F157" s="56">
        <v>6279856.7999999998</v>
      </c>
      <c r="G157" s="56">
        <v>6519135.5800000001</v>
      </c>
      <c r="H157" s="55">
        <v>6759434.6500000004</v>
      </c>
      <c r="I157" s="67">
        <v>6777429.6600000001</v>
      </c>
      <c r="J157" s="56">
        <v>7445313.0499999998</v>
      </c>
      <c r="K157" s="56">
        <v>7966516.6100000003</v>
      </c>
      <c r="L157" s="55">
        <v>8460982.8800000008</v>
      </c>
      <c r="M157" s="55">
        <v>9500416.2799999993</v>
      </c>
      <c r="N157" s="55">
        <v>10293122.49</v>
      </c>
    </row>
    <row r="158" spans="1:14" ht="15.6" x14ac:dyDescent="0.3">
      <c r="A158" s="69" t="s">
        <v>207</v>
      </c>
      <c r="B158" s="81">
        <v>5286232.28</v>
      </c>
      <c r="C158" s="53">
        <v>5616843.0300000003</v>
      </c>
      <c r="D158" s="54">
        <v>5843324.0599999996</v>
      </c>
      <c r="E158" s="82">
        <v>7921324.4699999997</v>
      </c>
      <c r="F158" s="83">
        <v>8419941.3300000001</v>
      </c>
      <c r="G158" s="83">
        <v>8780706.3900000006</v>
      </c>
      <c r="H158" s="82">
        <v>9374754.3200000003</v>
      </c>
      <c r="I158" s="67">
        <v>10092281.58</v>
      </c>
      <c r="J158" s="83">
        <v>10913501.859999999</v>
      </c>
      <c r="K158" s="83">
        <v>11750215.119999999</v>
      </c>
      <c r="L158" s="82">
        <v>12315065.09</v>
      </c>
      <c r="M158" s="82">
        <v>13597023.35</v>
      </c>
      <c r="N158" s="82">
        <v>14652824.9</v>
      </c>
    </row>
  </sheetData>
  <mergeCells count="1">
    <mergeCell ref="A1:N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97D135-DA5D-47F9-97B8-EBC4708864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Report</vt:lpstr>
      <vt:lpstr>Analytics and main data</vt:lpstr>
      <vt:lpstr> Receipts vs Expenditure</vt:lpstr>
      <vt:lpstr>deficit and surplus</vt:lpstr>
      <vt:lpstr>Tax Revenue composition</vt:lpstr>
      <vt:lpstr> Defence spending</vt:lpstr>
      <vt:lpstr>Capital Expenditure breakdown</vt:lpstr>
      <vt:lpstr>debt</vt:lpstr>
      <vt:lpstr>NTR</vt:lpstr>
      <vt:lpstr>Main Data</vt:lpstr>
      <vt:lpstr>Sub Components</vt:lpstr>
      <vt:lpstr>revenue receipts</vt:lpstr>
      <vt:lpstr>revenue disbursements</vt:lpstr>
      <vt:lpstr>capital receipts</vt:lpstr>
      <vt:lpstr>capital disbursements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riddhi jain</dc:creator>
  <cp:lastModifiedBy>riddhi jain</cp:lastModifiedBy>
  <dcterms:created xsi:type="dcterms:W3CDTF">2026-05-21T05:16:37Z</dcterms:created>
  <dcterms:modified xsi:type="dcterms:W3CDTF">2026-06-19T03:18:00Z</dcterms:modified>
</cp:coreProperties>
</file>